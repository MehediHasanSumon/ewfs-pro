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My Drive\0001 Monthly Sell Report\Monthly Sell Riport\2026\"/>
    </mc:Choice>
  </mc:AlternateContent>
  <xr:revisionPtr revIDLastSave="0" documentId="13_ncr:1_{8DF9089B-277F-4236-A051-8B158B268A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4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7" i="4" l="1"/>
  <c r="R31" i="4"/>
  <c r="R20" i="4"/>
  <c r="R30" i="4"/>
  <c r="R28" i="4" l="1"/>
  <c r="R27" i="4"/>
  <c r="R19" i="4"/>
  <c r="R33" i="4" l="1"/>
  <c r="R35" i="4" s="1"/>
  <c r="H18" i="4"/>
  <c r="H20" i="4" s="1"/>
  <c r="H17" i="4" l="1"/>
  <c r="H16" i="4" l="1"/>
  <c r="H14" i="4" l="1"/>
  <c r="H15" i="4"/>
  <c r="H13" i="4"/>
  <c r="K22" i="4" l="1"/>
  <c r="L22" i="4"/>
  <c r="L33" i="4" l="1"/>
  <c r="K23" i="4" l="1"/>
  <c r="L35" i="4" s="1"/>
  <c r="L37" i="4" s="1"/>
  <c r="F25" i="4"/>
  <c r="J35" i="1"/>
  <c r="E25" i="1"/>
  <c r="D30" i="4" l="1"/>
  <c r="J37" i="1"/>
  <c r="D29" i="1"/>
  <c r="J33" i="1"/>
  <c r="G33" i="1"/>
  <c r="D28" i="1" s="1"/>
  <c r="G30" i="1"/>
  <c r="D33" i="4" l="1"/>
  <c r="I28" i="4" s="1"/>
  <c r="I30" i="4" s="1"/>
  <c r="I37" i="4" s="1"/>
  <c r="D30" i="1"/>
  <c r="J22" i="1" l="1"/>
  <c r="I22" i="1"/>
  <c r="F14" i="1"/>
  <c r="F15" i="1"/>
  <c r="F16" i="1"/>
  <c r="F17" i="1"/>
  <c r="F18" i="1"/>
  <c r="F13" i="1"/>
  <c r="I23" i="1" l="1"/>
  <c r="F20" i="1"/>
</calcChain>
</file>

<file path=xl/sharedStrings.xml><?xml version="1.0" encoding="utf-8"?>
<sst xmlns="http://schemas.openxmlformats.org/spreadsheetml/2006/main" count="96" uniqueCount="51">
  <si>
    <t>Top Shit</t>
  </si>
  <si>
    <t>Month</t>
  </si>
  <si>
    <t>Gross Profit</t>
  </si>
  <si>
    <t xml:space="preserve">Md Sir </t>
  </si>
  <si>
    <t>Net Balance</t>
  </si>
  <si>
    <t>Over Oil Stock</t>
  </si>
  <si>
    <t>Octane</t>
  </si>
  <si>
    <t>Diesel</t>
  </si>
  <si>
    <t>Total Net Balance</t>
  </si>
  <si>
    <t>Total Liter</t>
  </si>
  <si>
    <t>Total Amount</t>
  </si>
  <si>
    <t>Convat Amount</t>
  </si>
  <si>
    <t>Month oiz balanshit</t>
  </si>
  <si>
    <t>Total Profit</t>
  </si>
  <si>
    <t>Recent Due</t>
  </si>
  <si>
    <t>January</t>
  </si>
  <si>
    <t>February</t>
  </si>
  <si>
    <t>March</t>
  </si>
  <si>
    <t>April</t>
  </si>
  <si>
    <t>Total Balance --31-12- 2025</t>
  </si>
  <si>
    <t xml:space="preserve">Amount </t>
  </si>
  <si>
    <t xml:space="preserve">Close Month And Year </t>
  </si>
  <si>
    <t>Due</t>
  </si>
  <si>
    <t>Cash</t>
  </si>
  <si>
    <t xml:space="preserve">Bank </t>
  </si>
  <si>
    <t>Oil Stoc</t>
  </si>
  <si>
    <t>Pay Woder</t>
  </si>
  <si>
    <t>Total Cash</t>
  </si>
  <si>
    <t>Profit</t>
  </si>
  <si>
    <t>Amount</t>
  </si>
  <si>
    <t>PVD 2025</t>
  </si>
  <si>
    <t xml:space="preserve">Total </t>
  </si>
  <si>
    <t xml:space="preserve">Cash </t>
  </si>
  <si>
    <t>Meghna</t>
  </si>
  <si>
    <t>Total</t>
  </si>
  <si>
    <t>Stock</t>
  </si>
  <si>
    <t>Office Expence</t>
  </si>
  <si>
    <t>Cash Pement (Md Sir )</t>
  </si>
  <si>
    <t>LPG Profit</t>
  </si>
  <si>
    <t>LPG Profit bank pay Trast bank</t>
  </si>
  <si>
    <t>May</t>
  </si>
  <si>
    <t>Jun</t>
  </si>
  <si>
    <t>bank</t>
  </si>
  <si>
    <t>Pay woder</t>
  </si>
  <si>
    <t>cash</t>
  </si>
  <si>
    <t>total</t>
  </si>
  <si>
    <t>LPG</t>
  </si>
  <si>
    <t xml:space="preserve">LPG Parses </t>
  </si>
  <si>
    <t>stock</t>
  </si>
  <si>
    <t>Short</t>
  </si>
  <si>
    <t>Tamishna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</si>
</sst>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Times New Roman"/>
      <family val="1"/>
    </font>
    <font>
      <sz val="1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43" fontId="0" fillId="0" borderId="1" xfId="1" applyFont="1" applyBorder="1"/>
    <xf numFmtId="43" fontId="0" fillId="0" borderId="0" xfId="0" applyNumberFormat="1"/>
    <xf numFmtId="0" fontId="3" fillId="0" borderId="1" xfId="0" applyFont="1" applyBorder="1"/>
    <xf numFmtId="43" fontId="3" fillId="0" borderId="1" xfId="1" applyFont="1" applyBorder="1"/>
    <xf numFmtId="0" fontId="4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0" fontId="3" fillId="0" borderId="0" xfId="0" applyFont="1"/>
    <xf numFmtId="43" fontId="3" fillId="0" borderId="1" xfId="0" applyNumberFormat="1" applyFont="1" applyBorder="1" applyAlignment="1">
      <alignment horizontal="center" vertical="center"/>
    </xf>
    <xf numFmtId="43" fontId="3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5" xfId="0" applyFont="1" applyBorder="1"/>
    <xf numFmtId="0" fontId="5" fillId="0" borderId="0" xfId="0" applyFont="1"/>
    <xf numFmtId="43" fontId="6" fillId="0" borderId="1" xfId="1" applyFont="1" applyBorder="1" applyAlignment="1">
      <alignment horizontal="center" vertical="center"/>
    </xf>
    <xf numFmtId="0" fontId="7" fillId="0" borderId="6" xfId="0" applyFont="1" applyBorder="1"/>
    <xf numFmtId="43" fontId="7" fillId="0" borderId="7" xfId="0" applyNumberFormat="1" applyFont="1" applyBorder="1"/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0" borderId="1" xfId="1" applyFont="1" applyBorder="1" applyAlignment="1">
      <alignment horizontal="center" vertical="center"/>
    </xf>
    <xf numFmtId="43" fontId="3" fillId="0" borderId="2" xfId="0" applyNumberFormat="1" applyFont="1" applyBorder="1" applyAlignment="1">
      <alignment horizontal="center"/>
    </xf>
    <xf numFmtId="43" fontId="3" fillId="0" borderId="3" xfId="0" applyNumberFormat="1" applyFont="1" applyBorder="1" applyAlignment="1">
      <alignment horizontal="center"/>
    </xf>
    <xf numFmtId="43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C290-1473-4EE9-95C8-F3FC25E8B9DB}">
  <sheetPr>
    <pageSetUpPr fitToPage="1"/>
  </sheetPr>
  <dimension ref="B3:R45"/>
  <sheetViews>
    <sheetView tabSelected="1" zoomScale="70" zoomScaleNormal="70" workbookViewId="0">
      <selection activeCell="F33" sqref="F33"/>
    </sheetView>
  </sheetViews>
  <sheetFormatPr defaultRowHeight="15" x14ac:dyDescent="0.25"/>
  <cols>
    <col min="3" max="3" width="18.28515625" bestFit="1" customWidth="1"/>
    <col min="4" max="5" width="21.28515625" bestFit="1" customWidth="1"/>
    <col min="6" max="6" width="28.85546875" bestFit="1" customWidth="1"/>
    <col min="7" max="7" width="28.85546875" customWidth="1"/>
    <col min="8" max="8" width="20.42578125" bestFit="1" customWidth="1"/>
    <col min="9" max="9" width="40.140625" bestFit="1" customWidth="1"/>
    <col min="10" max="10" width="14.85546875" hidden="1" customWidth="1"/>
    <col min="11" max="11" width="15.5703125" hidden="1" customWidth="1"/>
    <col min="12" max="12" width="19.5703125" hidden="1" customWidth="1"/>
    <col min="13" max="13" width="13" hidden="1" customWidth="1"/>
    <col min="16" max="16" width="19.5703125" bestFit="1" customWidth="1"/>
    <col min="17" max="17" width="15.7109375" customWidth="1"/>
    <col min="18" max="18" width="12.28515625" bestFit="1" customWidth="1"/>
    <col min="20" max="20" width="15.85546875" customWidth="1"/>
  </cols>
  <sheetData>
    <row r="3" spans="2:12" ht="27.75" x14ac:dyDescent="0.25">
      <c r="B3" s="24" t="s">
        <v>21</v>
      </c>
      <c r="C3" s="24"/>
      <c r="D3" s="24"/>
      <c r="E3" s="24"/>
      <c r="F3" s="24"/>
      <c r="G3" s="24"/>
      <c r="H3" s="24"/>
      <c r="I3" s="6" t="s">
        <v>20</v>
      </c>
    </row>
    <row r="4" spans="2:12" ht="31.5" x14ac:dyDescent="0.25">
      <c r="B4" s="24" t="s">
        <v>19</v>
      </c>
      <c r="C4" s="24"/>
      <c r="D4" s="24"/>
      <c r="E4" s="24"/>
      <c r="F4" s="24"/>
      <c r="G4" s="24"/>
      <c r="H4" s="24"/>
      <c r="I4" s="19">
        <v>14527926</v>
      </c>
    </row>
    <row r="9" spans="2:12" ht="15" customHeight="1" x14ac:dyDescent="0.25">
      <c r="C9" s="25" t="s">
        <v>0</v>
      </c>
      <c r="D9" s="25"/>
      <c r="E9" s="25"/>
      <c r="F9" s="25"/>
      <c r="G9" s="25"/>
      <c r="H9" s="25"/>
      <c r="I9" s="25"/>
      <c r="J9" s="25"/>
      <c r="K9" s="25"/>
      <c r="L9" s="25"/>
    </row>
    <row r="10" spans="2:12" ht="15" customHeight="1" x14ac:dyDescent="0.25"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2:12" s="13" customFormat="1" ht="21" x14ac:dyDescent="0.35">
      <c r="C11" s="26" t="s">
        <v>12</v>
      </c>
      <c r="D11" s="27"/>
      <c r="E11" s="27"/>
      <c r="F11" s="27"/>
      <c r="G11" s="27"/>
      <c r="H11" s="28"/>
      <c r="I11" s="4"/>
      <c r="J11" s="4"/>
      <c r="K11" s="23" t="s">
        <v>5</v>
      </c>
      <c r="L11" s="23"/>
    </row>
    <row r="12" spans="2:12" s="13" customFormat="1" ht="21" x14ac:dyDescent="0.35">
      <c r="C12" s="4" t="s">
        <v>1</v>
      </c>
      <c r="D12" s="4" t="s">
        <v>2</v>
      </c>
      <c r="E12" s="4" t="s">
        <v>36</v>
      </c>
      <c r="F12" s="4" t="s">
        <v>37</v>
      </c>
      <c r="G12" s="16" t="s">
        <v>38</v>
      </c>
      <c r="H12" s="4" t="s">
        <v>4</v>
      </c>
      <c r="I12" s="4"/>
      <c r="J12" s="4"/>
      <c r="K12" s="4" t="s">
        <v>6</v>
      </c>
      <c r="L12" s="4" t="s">
        <v>7</v>
      </c>
    </row>
    <row r="13" spans="2:12" s="13" customFormat="1" ht="21" x14ac:dyDescent="0.35">
      <c r="C13" s="4" t="s">
        <v>15</v>
      </c>
      <c r="D13" s="5">
        <v>2651445</v>
      </c>
      <c r="E13" s="5">
        <v>1425985</v>
      </c>
      <c r="F13" s="5">
        <v>110000</v>
      </c>
      <c r="G13" s="5">
        <v>344019</v>
      </c>
      <c r="H13" s="5">
        <f>D13-E13-F13+G13</f>
        <v>1459479</v>
      </c>
      <c r="I13" s="4"/>
      <c r="J13" s="4"/>
      <c r="K13" s="5"/>
      <c r="L13" s="5"/>
    </row>
    <row r="14" spans="2:12" s="13" customFormat="1" ht="21" x14ac:dyDescent="0.35">
      <c r="C14" s="4" t="s">
        <v>16</v>
      </c>
      <c r="D14" s="5">
        <v>1897694</v>
      </c>
      <c r="E14" s="5">
        <v>1203797</v>
      </c>
      <c r="F14" s="5">
        <v>325000</v>
      </c>
      <c r="G14" s="5">
        <v>356622</v>
      </c>
      <c r="H14" s="5">
        <f t="shared" ref="H14:H15" si="0">D14-E14-F14+G14</f>
        <v>725519</v>
      </c>
      <c r="I14" s="4"/>
      <c r="J14" s="4"/>
      <c r="K14" s="5"/>
      <c r="L14" s="5"/>
    </row>
    <row r="15" spans="2:12" s="13" customFormat="1" ht="21" x14ac:dyDescent="0.35">
      <c r="C15" s="4" t="s">
        <v>17</v>
      </c>
      <c r="D15" s="5">
        <v>2572568</v>
      </c>
      <c r="E15" s="5">
        <v>1624320</v>
      </c>
      <c r="F15" s="5">
        <v>1500000</v>
      </c>
      <c r="G15" s="5">
        <v>229749</v>
      </c>
      <c r="H15" s="5">
        <f t="shared" si="0"/>
        <v>-322003</v>
      </c>
      <c r="I15" s="4"/>
      <c r="J15" s="4"/>
      <c r="K15" s="5"/>
      <c r="L15" s="5"/>
    </row>
    <row r="16" spans="2:12" s="13" customFormat="1" ht="21" x14ac:dyDescent="0.35">
      <c r="C16" s="4" t="s">
        <v>18</v>
      </c>
      <c r="D16" s="5">
        <v>2141998</v>
      </c>
      <c r="E16" s="5">
        <v>1577281</v>
      </c>
      <c r="F16" s="5">
        <v>35000</v>
      </c>
      <c r="G16" s="5">
        <v>220152</v>
      </c>
      <c r="H16" s="5">
        <f>D16-E16-F16</f>
        <v>529717</v>
      </c>
      <c r="I16" s="4" t="s">
        <v>39</v>
      </c>
      <c r="J16" s="4"/>
      <c r="K16" s="5"/>
      <c r="L16" s="5"/>
    </row>
    <row r="17" spans="3:18" s="13" customFormat="1" ht="21" x14ac:dyDescent="0.35">
      <c r="C17" s="4" t="s">
        <v>40</v>
      </c>
      <c r="D17" s="5">
        <v>2496907.9900000002</v>
      </c>
      <c r="E17" s="5">
        <v>1420390</v>
      </c>
      <c r="F17" s="5">
        <v>130000</v>
      </c>
      <c r="G17" s="5">
        <v>191980</v>
      </c>
      <c r="H17" s="5">
        <f>D17-E17-F17</f>
        <v>946517.99000000022</v>
      </c>
      <c r="I17" s="4" t="s">
        <v>39</v>
      </c>
      <c r="J17" s="4"/>
      <c r="K17" s="5"/>
      <c r="L17" s="5"/>
      <c r="Q17" s="18" t="s">
        <v>46</v>
      </c>
      <c r="R17" s="18"/>
    </row>
    <row r="18" spans="3:18" s="13" customFormat="1" ht="21" x14ac:dyDescent="0.35">
      <c r="C18" s="4" t="s">
        <v>41</v>
      </c>
      <c r="D18" s="5">
        <v>2854843</v>
      </c>
      <c r="E18" s="5">
        <v>1454710</v>
      </c>
      <c r="F18" s="5">
        <v>147000</v>
      </c>
      <c r="G18" s="5">
        <v>172390</v>
      </c>
      <c r="H18" s="5">
        <f>D18-E18-F18+G18</f>
        <v>1425523</v>
      </c>
      <c r="I18" s="4"/>
      <c r="J18" s="4"/>
      <c r="K18" s="5"/>
      <c r="L18" s="5"/>
      <c r="Q18" s="18" t="s">
        <v>49</v>
      </c>
      <c r="R18" s="18">
        <v>2500</v>
      </c>
    </row>
    <row r="19" spans="3:18" s="13" customFormat="1" ht="21" x14ac:dyDescent="0.35">
      <c r="C19" s="4"/>
      <c r="D19" s="4"/>
      <c r="E19" s="4"/>
      <c r="F19" s="4"/>
      <c r="G19" s="4"/>
      <c r="H19" s="4"/>
      <c r="I19" s="4"/>
      <c r="J19" s="4"/>
      <c r="K19" s="5"/>
      <c r="L19" s="5"/>
      <c r="Q19" s="18" t="s">
        <v>48</v>
      </c>
      <c r="R19" s="18">
        <f>20*130</f>
        <v>2600</v>
      </c>
    </row>
    <row r="20" spans="3:18" s="13" customFormat="1" ht="21" x14ac:dyDescent="0.35">
      <c r="C20" s="4"/>
      <c r="D20" s="4"/>
      <c r="E20" s="23" t="s">
        <v>8</v>
      </c>
      <c r="F20" s="23"/>
      <c r="G20" s="16"/>
      <c r="H20" s="5">
        <f>SUM(H13:H18)</f>
        <v>4764752.99</v>
      </c>
      <c r="I20" s="4"/>
      <c r="J20" s="4" t="s">
        <v>9</v>
      </c>
      <c r="K20" s="5">
        <v>194</v>
      </c>
      <c r="L20" s="5">
        <v>2788</v>
      </c>
      <c r="Q20" s="18"/>
      <c r="R20" s="18">
        <f>SUM(R18:R19)</f>
        <v>5100</v>
      </c>
    </row>
    <row r="21" spans="3:18" s="13" customFormat="1" ht="21" x14ac:dyDescent="0.35">
      <c r="C21" s="4"/>
      <c r="D21" s="4"/>
      <c r="E21" s="4"/>
      <c r="F21" s="4"/>
      <c r="G21" s="4"/>
      <c r="H21" s="4"/>
      <c r="I21" s="4"/>
      <c r="J21" s="4"/>
      <c r="K21" s="5"/>
      <c r="L21" s="5"/>
    </row>
    <row r="22" spans="3:18" s="13" customFormat="1" ht="21" x14ac:dyDescent="0.35">
      <c r="C22" s="4"/>
      <c r="D22" s="4"/>
      <c r="E22" s="4"/>
      <c r="F22" s="4"/>
      <c r="G22" s="4"/>
      <c r="H22" s="4"/>
      <c r="I22" s="4"/>
      <c r="J22" s="13" t="s">
        <v>11</v>
      </c>
      <c r="K22" s="5">
        <f>K20*116.16</f>
        <v>22535.040000000001</v>
      </c>
      <c r="L22" s="5">
        <f>L20*98.33</f>
        <v>274144.03999999998</v>
      </c>
    </row>
    <row r="23" spans="3:18" s="13" customFormat="1" ht="21" x14ac:dyDescent="0.35">
      <c r="C23" s="4"/>
      <c r="D23" s="4"/>
      <c r="E23" s="4"/>
      <c r="F23" s="4"/>
      <c r="G23" s="4"/>
      <c r="H23" s="4"/>
      <c r="I23" s="4"/>
      <c r="J23" s="4" t="s">
        <v>10</v>
      </c>
      <c r="K23" s="30">
        <f>SUM(K22:L22)</f>
        <v>296679.07999999996</v>
      </c>
      <c r="L23" s="30"/>
    </row>
    <row r="24" spans="3:18" s="13" customFormat="1" ht="21" x14ac:dyDescent="0.35">
      <c r="C24" s="4"/>
      <c r="D24" s="4"/>
      <c r="E24" s="4"/>
      <c r="F24" s="4"/>
      <c r="G24" s="4"/>
      <c r="H24" s="4"/>
      <c r="I24" s="4"/>
      <c r="J24" s="4"/>
      <c r="K24" s="4"/>
      <c r="L24" s="4"/>
      <c r="P24" s="13" t="s">
        <v>42</v>
      </c>
      <c r="R24" s="13">
        <v>50000</v>
      </c>
    </row>
    <row r="25" spans="3:18" s="13" customFormat="1" ht="21" x14ac:dyDescent="0.35">
      <c r="C25" s="4"/>
      <c r="D25" s="4"/>
      <c r="E25" s="4" t="s">
        <v>13</v>
      </c>
      <c r="F25" s="31">
        <f>H20</f>
        <v>4764752.99</v>
      </c>
      <c r="G25" s="32"/>
      <c r="H25" s="28"/>
      <c r="I25" s="4"/>
      <c r="J25" s="4"/>
      <c r="K25" s="4"/>
      <c r="L25" s="4"/>
      <c r="P25" s="13" t="s">
        <v>43</v>
      </c>
      <c r="R25" s="13">
        <v>1496543</v>
      </c>
    </row>
    <row r="26" spans="3:18" s="13" customFormat="1" ht="21" x14ac:dyDescent="0.35">
      <c r="P26" s="13" t="s">
        <v>44</v>
      </c>
      <c r="R26" s="13">
        <v>1262678</v>
      </c>
    </row>
    <row r="27" spans="3:18" s="13" customFormat="1" ht="21" x14ac:dyDescent="0.35">
      <c r="P27" s="13" t="s">
        <v>7</v>
      </c>
      <c r="Q27" s="13">
        <v>33852</v>
      </c>
      <c r="R27" s="13">
        <f>Q27*115</f>
        <v>3892980</v>
      </c>
    </row>
    <row r="28" spans="3:18" s="13" customFormat="1" ht="21" x14ac:dyDescent="0.35">
      <c r="C28" s="11" t="s">
        <v>27</v>
      </c>
      <c r="D28" s="11" t="s">
        <v>29</v>
      </c>
      <c r="F28" s="4" t="s">
        <v>10</v>
      </c>
      <c r="G28" s="4"/>
      <c r="H28" s="4"/>
      <c r="I28" s="5">
        <f>D33</f>
        <v>15939729.99</v>
      </c>
      <c r="K28" s="11" t="s">
        <v>32</v>
      </c>
      <c r="L28" s="12"/>
      <c r="P28" s="13" t="s">
        <v>6</v>
      </c>
      <c r="Q28" s="13">
        <v>4832</v>
      </c>
      <c r="R28" s="13">
        <f>Q28*145</f>
        <v>700640</v>
      </c>
    </row>
    <row r="29" spans="3:18" s="13" customFormat="1" ht="21" x14ac:dyDescent="0.35">
      <c r="C29" s="11" t="s">
        <v>30</v>
      </c>
      <c r="D29" s="12">
        <v>11174977</v>
      </c>
      <c r="F29" s="4" t="s">
        <v>14</v>
      </c>
      <c r="G29" s="4"/>
      <c r="H29" s="4"/>
      <c r="I29" s="5">
        <v>9073936</v>
      </c>
      <c r="K29" s="11" t="s">
        <v>22</v>
      </c>
      <c r="L29" s="12"/>
    </row>
    <row r="30" spans="3:18" s="13" customFormat="1" ht="21" x14ac:dyDescent="0.35">
      <c r="C30" s="11" t="s">
        <v>28</v>
      </c>
      <c r="D30" s="12">
        <f>H20</f>
        <v>4764752.99</v>
      </c>
      <c r="F30" s="4" t="s">
        <v>32</v>
      </c>
      <c r="G30" s="4"/>
      <c r="H30" s="4"/>
      <c r="I30" s="5">
        <f>I28-I29</f>
        <v>6865793.9900000002</v>
      </c>
      <c r="K30" s="11" t="s">
        <v>23</v>
      </c>
      <c r="L30" s="12"/>
      <c r="P30" s="29" t="s">
        <v>45</v>
      </c>
      <c r="Q30" s="29"/>
      <c r="R30" s="13">
        <f>SUM(R24:R28)</f>
        <v>7402841</v>
      </c>
    </row>
    <row r="31" spans="3:18" s="13" customFormat="1" ht="21" x14ac:dyDescent="0.35">
      <c r="C31" s="11"/>
      <c r="D31" s="11"/>
      <c r="K31" s="11" t="s">
        <v>24</v>
      </c>
      <c r="L31" s="12">
        <v>634000</v>
      </c>
      <c r="P31" s="29" t="s">
        <v>46</v>
      </c>
      <c r="Q31" s="29"/>
      <c r="R31" s="13">
        <f>R20*86.93</f>
        <v>443343.00000000006</v>
      </c>
    </row>
    <row r="32" spans="3:18" s="13" customFormat="1" ht="21.75" thickBot="1" x14ac:dyDescent="0.4">
      <c r="C32" s="11"/>
      <c r="D32" s="11"/>
      <c r="I32" s="15"/>
      <c r="K32" s="11" t="s">
        <v>25</v>
      </c>
      <c r="L32" s="12"/>
      <c r="P32" s="22" t="s">
        <v>47</v>
      </c>
      <c r="Q32" s="22"/>
      <c r="R32" s="17">
        <v>315000</v>
      </c>
    </row>
    <row r="33" spans="3:18" s="13" customFormat="1" ht="21" x14ac:dyDescent="0.35">
      <c r="C33" s="11" t="s">
        <v>31</v>
      </c>
      <c r="D33" s="12">
        <f>SUM(D29:D32)</f>
        <v>15939729.99</v>
      </c>
      <c r="K33" s="14" t="s">
        <v>26</v>
      </c>
      <c r="L33" s="5">
        <f>867555+1381703+1381703+947925+1052000</f>
        <v>5630886</v>
      </c>
      <c r="R33" s="13">
        <f>SUM(R30:R32)</f>
        <v>8161184</v>
      </c>
    </row>
    <row r="34" spans="3:18" s="13" customFormat="1" ht="21.75" thickBot="1" x14ac:dyDescent="0.4">
      <c r="K34" s="11" t="s">
        <v>33</v>
      </c>
      <c r="L34" s="5">
        <v>280000</v>
      </c>
      <c r="P34" s="17"/>
      <c r="Q34" s="17" t="s">
        <v>22</v>
      </c>
      <c r="R34" s="17">
        <v>1995390</v>
      </c>
    </row>
    <row r="35" spans="3:18" s="13" customFormat="1" ht="21" x14ac:dyDescent="0.35">
      <c r="I35" s="15"/>
      <c r="K35" s="11" t="s">
        <v>35</v>
      </c>
      <c r="L35" s="5">
        <f>K23</f>
        <v>296679.07999999996</v>
      </c>
      <c r="R35" s="13">
        <f>R33-R34</f>
        <v>6165794</v>
      </c>
    </row>
    <row r="36" spans="3:18" s="13" customFormat="1" ht="21.75" thickBot="1" x14ac:dyDescent="0.4">
      <c r="K36" s="11"/>
      <c r="L36" s="5"/>
      <c r="P36" s="22" t="s">
        <v>50</v>
      </c>
      <c r="Q36" s="22"/>
      <c r="R36" s="17">
        <v>700000</v>
      </c>
    </row>
    <row r="37" spans="3:18" s="13" customFormat="1" ht="27" thickBot="1" x14ac:dyDescent="0.45">
      <c r="D37" s="15"/>
      <c r="F37" s="15"/>
      <c r="G37" s="15"/>
      <c r="H37" s="20" t="s">
        <v>49</v>
      </c>
      <c r="I37" s="21">
        <f>I30-R37</f>
        <v>-9.9999997764825821E-3</v>
      </c>
      <c r="K37" s="11" t="s">
        <v>34</v>
      </c>
      <c r="L37" s="5">
        <f>SUM(L29:L35)</f>
        <v>6841565.0800000001</v>
      </c>
      <c r="P37" s="15"/>
      <c r="R37" s="13">
        <f>SUM(R35:R36)</f>
        <v>6865794</v>
      </c>
    </row>
    <row r="38" spans="3:18" x14ac:dyDescent="0.25">
      <c r="F38" s="3"/>
      <c r="G38" s="3"/>
    </row>
    <row r="41" spans="3:18" x14ac:dyDescent="0.25">
      <c r="D41" s="3"/>
      <c r="I41" s="3"/>
    </row>
    <row r="45" spans="3:18" x14ac:dyDescent="0.25">
      <c r="I45" s="3"/>
    </row>
  </sheetData>
  <mergeCells count="12">
    <mergeCell ref="P36:Q36"/>
    <mergeCell ref="E20:F20"/>
    <mergeCell ref="B3:H3"/>
    <mergeCell ref="B4:H4"/>
    <mergeCell ref="C9:L10"/>
    <mergeCell ref="C11:H11"/>
    <mergeCell ref="K11:L11"/>
    <mergeCell ref="P30:Q30"/>
    <mergeCell ref="P31:Q31"/>
    <mergeCell ref="P32:Q32"/>
    <mergeCell ref="K23:L23"/>
    <mergeCell ref="F25:H25"/>
  </mergeCells>
  <pageMargins left="0.7" right="0.7" top="0.75" bottom="0.75" header="0.3" footer="0.3"/>
  <pageSetup paperSize="9" scale="63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J38"/>
  <sheetViews>
    <sheetView topLeftCell="A10" workbookViewId="0">
      <selection activeCell="J35" sqref="J35"/>
    </sheetView>
  </sheetViews>
  <sheetFormatPr defaultRowHeight="15" x14ac:dyDescent="0.25"/>
  <cols>
    <col min="3" max="3" width="18.28515625" bestFit="1" customWidth="1"/>
    <col min="4" max="5" width="21.140625" bestFit="1" customWidth="1"/>
    <col min="6" max="6" width="17.28515625" bestFit="1" customWidth="1"/>
    <col min="7" max="7" width="28" bestFit="1" customWidth="1"/>
    <col min="8" max="8" width="14.85546875" bestFit="1" customWidth="1"/>
    <col min="9" max="9" width="13.5703125" bestFit="1" customWidth="1"/>
    <col min="10" max="10" width="13.28515625" bestFit="1" customWidth="1"/>
    <col min="11" max="11" width="13" customWidth="1"/>
    <col min="15" max="15" width="15.7109375" customWidth="1"/>
  </cols>
  <sheetData>
    <row r="3" spans="2:10" ht="27.75" x14ac:dyDescent="0.25">
      <c r="B3" s="24" t="s">
        <v>21</v>
      </c>
      <c r="C3" s="24"/>
      <c r="D3" s="24"/>
      <c r="E3" s="24"/>
      <c r="F3" s="24"/>
      <c r="G3" s="6" t="s">
        <v>20</v>
      </c>
    </row>
    <row r="4" spans="2:10" ht="27.75" x14ac:dyDescent="0.25">
      <c r="B4" s="24" t="s">
        <v>19</v>
      </c>
      <c r="C4" s="24"/>
      <c r="D4" s="24"/>
      <c r="E4" s="24"/>
      <c r="F4" s="24"/>
      <c r="G4" s="7">
        <v>15527926</v>
      </c>
    </row>
    <row r="9" spans="2:10" ht="15" customHeight="1" x14ac:dyDescent="0.25">
      <c r="C9" s="25" t="s">
        <v>0</v>
      </c>
      <c r="D9" s="25"/>
      <c r="E9" s="25"/>
      <c r="F9" s="25"/>
      <c r="G9" s="25"/>
      <c r="H9" s="25"/>
      <c r="I9" s="25"/>
      <c r="J9" s="25"/>
    </row>
    <row r="10" spans="2:10" ht="15" customHeight="1" x14ac:dyDescent="0.25">
      <c r="C10" s="25"/>
      <c r="D10" s="25"/>
      <c r="E10" s="25"/>
      <c r="F10" s="25"/>
      <c r="G10" s="25"/>
      <c r="H10" s="25"/>
      <c r="I10" s="25"/>
      <c r="J10" s="25"/>
    </row>
    <row r="11" spans="2:10" x14ac:dyDescent="0.25">
      <c r="C11" s="37" t="s">
        <v>12</v>
      </c>
      <c r="D11" s="38"/>
      <c r="E11" s="38"/>
      <c r="F11" s="34"/>
      <c r="G11" s="1"/>
      <c r="H11" s="1"/>
      <c r="I11" s="35" t="s">
        <v>5</v>
      </c>
      <c r="J11" s="35"/>
    </row>
    <row r="12" spans="2:10" x14ac:dyDescent="0.25">
      <c r="C12" s="1" t="s">
        <v>1</v>
      </c>
      <c r="D12" s="1" t="s">
        <v>2</v>
      </c>
      <c r="E12" s="1" t="s">
        <v>3</v>
      </c>
      <c r="F12" s="1" t="s">
        <v>4</v>
      </c>
      <c r="G12" s="1"/>
      <c r="H12" s="1"/>
      <c r="I12" s="1" t="s">
        <v>6</v>
      </c>
      <c r="J12" s="1" t="s">
        <v>7</v>
      </c>
    </row>
    <row r="13" spans="2:10" x14ac:dyDescent="0.25">
      <c r="C13" s="1" t="s">
        <v>15</v>
      </c>
      <c r="D13" s="2">
        <v>1225460</v>
      </c>
      <c r="E13" s="2">
        <v>110000</v>
      </c>
      <c r="F13" s="2">
        <f>D13-E13</f>
        <v>1115460</v>
      </c>
      <c r="G13" s="1"/>
      <c r="H13" s="1"/>
      <c r="I13" s="2"/>
      <c r="J13" s="2"/>
    </row>
    <row r="14" spans="2:10" x14ac:dyDescent="0.25">
      <c r="C14" s="1" t="s">
        <v>16</v>
      </c>
      <c r="D14" s="2">
        <v>693897</v>
      </c>
      <c r="E14" s="2">
        <v>325000</v>
      </c>
      <c r="F14" s="2">
        <f t="shared" ref="F14:F18" si="0">D14-E14</f>
        <v>368897</v>
      </c>
      <c r="G14" s="1"/>
      <c r="H14" s="1"/>
      <c r="I14" s="2"/>
      <c r="J14" s="2"/>
    </row>
    <row r="15" spans="2:10" x14ac:dyDescent="0.25">
      <c r="C15" s="1" t="s">
        <v>17</v>
      </c>
      <c r="D15" s="2">
        <v>948248</v>
      </c>
      <c r="E15" s="2">
        <v>1500000</v>
      </c>
      <c r="F15" s="2">
        <f t="shared" si="0"/>
        <v>-551752</v>
      </c>
      <c r="G15" s="1"/>
      <c r="H15" s="1"/>
      <c r="I15" s="2"/>
      <c r="J15" s="2"/>
    </row>
    <row r="16" spans="2:10" x14ac:dyDescent="0.25">
      <c r="C16" s="1" t="s">
        <v>18</v>
      </c>
      <c r="D16" s="2"/>
      <c r="E16" s="2"/>
      <c r="F16" s="2">
        <f t="shared" si="0"/>
        <v>0</v>
      </c>
      <c r="G16" s="1"/>
      <c r="H16" s="1"/>
      <c r="I16" s="2"/>
      <c r="J16" s="2"/>
    </row>
    <row r="17" spans="3:10" x14ac:dyDescent="0.25">
      <c r="C17" s="1"/>
      <c r="D17" s="2"/>
      <c r="E17" s="2"/>
      <c r="F17" s="2">
        <f t="shared" si="0"/>
        <v>0</v>
      </c>
      <c r="G17" s="1"/>
      <c r="H17" s="1"/>
      <c r="I17" s="2"/>
      <c r="J17" s="2"/>
    </row>
    <row r="18" spans="3:10" x14ac:dyDescent="0.25">
      <c r="C18" s="1"/>
      <c r="D18" s="2"/>
      <c r="E18" s="2"/>
      <c r="F18" s="2">
        <f t="shared" si="0"/>
        <v>0</v>
      </c>
      <c r="G18" s="1"/>
      <c r="H18" s="1"/>
      <c r="I18" s="2"/>
      <c r="J18" s="2"/>
    </row>
    <row r="19" spans="3:10" x14ac:dyDescent="0.25">
      <c r="C19" s="1"/>
      <c r="D19" s="1"/>
      <c r="E19" s="1"/>
      <c r="F19" s="1"/>
      <c r="G19" s="1"/>
      <c r="H19" s="1"/>
      <c r="I19" s="2"/>
      <c r="J19" s="2"/>
    </row>
    <row r="20" spans="3:10" x14ac:dyDescent="0.25">
      <c r="C20" s="1"/>
      <c r="D20" s="35" t="s">
        <v>8</v>
      </c>
      <c r="E20" s="35"/>
      <c r="F20" s="2">
        <f>SUM(F13:F18)</f>
        <v>932605</v>
      </c>
      <c r="G20" s="1"/>
      <c r="H20" s="1" t="s">
        <v>9</v>
      </c>
      <c r="I20" s="2">
        <v>194</v>
      </c>
      <c r="J20" s="2">
        <v>2788</v>
      </c>
    </row>
    <row r="21" spans="3:10" x14ac:dyDescent="0.25">
      <c r="C21" s="1"/>
      <c r="D21" s="1"/>
      <c r="E21" s="1"/>
      <c r="F21" s="1"/>
      <c r="G21" s="1"/>
      <c r="H21" s="1"/>
      <c r="I21" s="2"/>
      <c r="J21" s="2"/>
    </row>
    <row r="22" spans="3:10" x14ac:dyDescent="0.25">
      <c r="C22" s="1"/>
      <c r="D22" s="1"/>
      <c r="E22" s="1"/>
      <c r="F22" s="1"/>
      <c r="G22" s="1"/>
      <c r="H22" t="s">
        <v>11</v>
      </c>
      <c r="I22" s="2">
        <f>I20*116.16</f>
        <v>22535.040000000001</v>
      </c>
      <c r="J22" s="2">
        <f>J20*98.33</f>
        <v>274144.03999999998</v>
      </c>
    </row>
    <row r="23" spans="3:10" x14ac:dyDescent="0.25">
      <c r="C23" s="1"/>
      <c r="D23" s="1"/>
      <c r="E23" s="1"/>
      <c r="F23" s="1"/>
      <c r="G23" s="1"/>
      <c r="H23" s="1" t="s">
        <v>10</v>
      </c>
      <c r="I23" s="36">
        <f>SUM(I22:J22)</f>
        <v>296679.07999999996</v>
      </c>
      <c r="J23" s="36"/>
    </row>
    <row r="24" spans="3:10" x14ac:dyDescent="0.25">
      <c r="C24" s="1"/>
      <c r="D24" s="1"/>
      <c r="E24" s="1"/>
      <c r="F24" s="1"/>
      <c r="G24" s="1"/>
      <c r="H24" s="1"/>
      <c r="I24" s="1"/>
      <c r="J24" s="1"/>
    </row>
    <row r="25" spans="3:10" x14ac:dyDescent="0.25">
      <c r="C25" s="1"/>
      <c r="D25" s="1" t="s">
        <v>13</v>
      </c>
      <c r="E25" s="33">
        <f>F20</f>
        <v>932605</v>
      </c>
      <c r="F25" s="34"/>
      <c r="G25" s="1"/>
      <c r="H25" s="1"/>
      <c r="I25" s="1"/>
      <c r="J25" s="1"/>
    </row>
    <row r="28" spans="3:10" ht="21" x14ac:dyDescent="0.35">
      <c r="C28" s="4" t="s">
        <v>10</v>
      </c>
      <c r="D28" s="5">
        <f>G33</f>
        <v>16460531</v>
      </c>
      <c r="F28" s="9" t="s">
        <v>27</v>
      </c>
      <c r="G28" s="9" t="s">
        <v>29</v>
      </c>
      <c r="I28" s="9" t="s">
        <v>32</v>
      </c>
      <c r="J28" s="8"/>
    </row>
    <row r="29" spans="3:10" ht="21" x14ac:dyDescent="0.35">
      <c r="C29" s="4" t="s">
        <v>14</v>
      </c>
      <c r="D29" s="5">
        <f>9551620</f>
        <v>9551620</v>
      </c>
      <c r="F29" s="9" t="s">
        <v>30</v>
      </c>
      <c r="G29" s="8">
        <v>15527926</v>
      </c>
      <c r="I29" s="9" t="s">
        <v>22</v>
      </c>
      <c r="J29" s="8"/>
    </row>
    <row r="30" spans="3:10" ht="21" x14ac:dyDescent="0.35">
      <c r="C30" s="4" t="s">
        <v>32</v>
      </c>
      <c r="D30" s="5">
        <f>D28-D29</f>
        <v>6908911</v>
      </c>
      <c r="F30" s="9" t="s">
        <v>28</v>
      </c>
      <c r="G30" s="8">
        <f>F20</f>
        <v>932605</v>
      </c>
      <c r="I30" s="9" t="s">
        <v>23</v>
      </c>
      <c r="J30" s="8"/>
    </row>
    <row r="31" spans="3:10" x14ac:dyDescent="0.25">
      <c r="F31" s="9"/>
      <c r="G31" s="9"/>
      <c r="I31" s="9" t="s">
        <v>24</v>
      </c>
      <c r="J31" s="8">
        <v>634000</v>
      </c>
    </row>
    <row r="32" spans="3:10" x14ac:dyDescent="0.25">
      <c r="F32" s="9"/>
      <c r="G32" s="9"/>
      <c r="I32" s="9" t="s">
        <v>25</v>
      </c>
      <c r="J32" s="8"/>
    </row>
    <row r="33" spans="5:10" x14ac:dyDescent="0.25">
      <c r="F33" s="9" t="s">
        <v>31</v>
      </c>
      <c r="G33" s="9">
        <f>SUM(G29:G32)</f>
        <v>16460531</v>
      </c>
      <c r="I33" s="10" t="s">
        <v>26</v>
      </c>
      <c r="J33" s="2">
        <f>867555+1381703+1381703+947925+1052000</f>
        <v>5630886</v>
      </c>
    </row>
    <row r="34" spans="5:10" x14ac:dyDescent="0.25">
      <c r="I34" s="9" t="s">
        <v>33</v>
      </c>
      <c r="J34" s="2">
        <v>280000</v>
      </c>
    </row>
    <row r="35" spans="5:10" x14ac:dyDescent="0.25">
      <c r="G35" s="3"/>
      <c r="I35" s="1" t="s">
        <v>35</v>
      </c>
      <c r="J35" s="2">
        <f>I23</f>
        <v>296679.07999999996</v>
      </c>
    </row>
    <row r="36" spans="5:10" x14ac:dyDescent="0.25">
      <c r="I36" s="1"/>
      <c r="J36" s="2"/>
    </row>
    <row r="37" spans="5:10" x14ac:dyDescent="0.25">
      <c r="E37" s="3"/>
      <c r="I37" s="1" t="s">
        <v>34</v>
      </c>
      <c r="J37" s="2">
        <f>SUM(J29:J35)</f>
        <v>6841565.0800000001</v>
      </c>
    </row>
    <row r="38" spans="5:10" x14ac:dyDescent="0.25">
      <c r="E38" s="3"/>
    </row>
  </sheetData>
  <mergeCells count="8">
    <mergeCell ref="B4:F4"/>
    <mergeCell ref="B3:F3"/>
    <mergeCell ref="C9:J10"/>
    <mergeCell ref="E25:F25"/>
    <mergeCell ref="I11:J11"/>
    <mergeCell ref="D20:E20"/>
    <mergeCell ref="I23:J23"/>
    <mergeCell ref="C11:F11"/>
  </mergeCells>
  <pageMargins left="0.7" right="0.7" top="0.75" bottom="0.75" header="0.3" footer="0.3"/>
  <pageSetup paperSize="9" scale="99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cp:lastPrinted>2026-04-03T08:17:24Z</cp:lastPrinted>
  <dcterms:created xsi:type="dcterms:W3CDTF">2015-06-05T18:17:20Z</dcterms:created>
  <dcterms:modified xsi:type="dcterms:W3CDTF">2026-07-14T07:41:53Z</dcterms:modified>
</cp:coreProperties>
</file>
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0001 Monthly Sell Report\Monthly Sell Riport\2026\"/>
    </mc:Choice>
  </mc:AlternateContent>
  <xr:revisionPtr revIDLastSave="0" documentId="13_ncr:1_{AB465736-BF99-4A8E-BDFE-CC154A82A336}" xr6:coauthVersionLast="47" xr6:coauthVersionMax="47" xr10:uidLastSave="{00000000-0000-0000-0000-000000000000}"/>
  <bookViews>
    <workbookView xWindow="14130" yWindow="-195" windowWidth="13500" windowHeight="11790" xr2:uid="{00000000-000D-0000-FFFF-FFFF00000000}"/>
  </bookViews>
  <sheets>
    <sheet name="Monthl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4" i="1" l="1"/>
  <c r="O103" i="1"/>
  <c r="R112" i="1"/>
  <c r="K109" i="1"/>
  <c r="K107" i="1"/>
  <c r="P93" i="1"/>
  <c r="P92" i="1"/>
  <c r="P91" i="1"/>
  <c r="O91" i="1"/>
  <c r="O90" i="1"/>
  <c r="P89" i="1"/>
  <c r="O89" i="1"/>
  <c r="O88" i="1"/>
  <c r="P88" i="1"/>
  <c r="P86" i="1"/>
  <c r="O86" i="1"/>
  <c r="P85" i="1"/>
  <c r="L85" i="1"/>
  <c r="O84" i="1"/>
  <c r="P83" i="1"/>
  <c r="O83" i="1"/>
  <c r="P82" i="1"/>
  <c r="O82" i="1"/>
  <c r="P80" i="1"/>
  <c r="P79" i="1"/>
  <c r="L78" i="1"/>
  <c r="O77" i="1"/>
  <c r="P77" i="1"/>
  <c r="P76" i="1"/>
  <c r="S76" i="1"/>
  <c r="O76" i="1"/>
  <c r="L76" i="1"/>
  <c r="O75" i="1"/>
  <c r="P74" i="1"/>
  <c r="P73" i="1"/>
  <c r="O73" i="1"/>
  <c r="L55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81" i="1"/>
  <c r="W94" i="1"/>
  <c r="W95" i="1"/>
  <c r="W96" i="1"/>
  <c r="W4" i="1"/>
  <c r="P72" i="1"/>
  <c r="O72" i="1"/>
  <c r="P71" i="1"/>
  <c r="O71" i="1"/>
  <c r="S70" i="1"/>
  <c r="P70" i="1"/>
  <c r="O69" i="1"/>
  <c r="P69" i="1"/>
  <c r="O68" i="1"/>
  <c r="P68" i="1"/>
  <c r="L68" i="1"/>
  <c r="S67" i="1"/>
  <c r="P67" i="1"/>
  <c r="O67" i="1"/>
  <c r="P66" i="1"/>
  <c r="P65" i="1"/>
  <c r="O65" i="1"/>
  <c r="S64" i="1"/>
  <c r="P64" i="1"/>
  <c r="O64" i="1"/>
  <c r="P63" i="1"/>
  <c r="O63" i="1"/>
  <c r="P62" i="1"/>
  <c r="P61" i="1"/>
  <c r="O59" i="1"/>
  <c r="P59" i="1"/>
  <c r="L59" i="1"/>
  <c r="P58" i="1"/>
  <c r="O58" i="1"/>
  <c r="O57" i="1"/>
  <c r="P56" i="1"/>
  <c r="O56" i="1"/>
  <c r="P55" i="1"/>
  <c r="O55" i="1"/>
  <c r="P54" i="1"/>
  <c r="O54" i="1"/>
  <c r="O53" i="1"/>
  <c r="P53" i="1"/>
  <c r="L53" i="1"/>
  <c r="P52" i="1"/>
  <c r="O52" i="1"/>
  <c r="P51" i="1"/>
  <c r="P50" i="1"/>
  <c r="S49" i="1"/>
  <c r="P49" i="1"/>
  <c r="L49" i="1"/>
  <c r="F49" i="1"/>
  <c r="O48" i="1"/>
  <c r="P48" i="1"/>
  <c r="O47" i="1"/>
  <c r="P47" i="1"/>
  <c r="O46" i="1"/>
  <c r="P46" i="1"/>
  <c r="P45" i="1"/>
  <c r="O44" i="1"/>
  <c r="P43" i="1"/>
  <c r="O43" i="1"/>
  <c r="P42" i="1"/>
  <c r="L42" i="1"/>
  <c r="P41" i="1"/>
  <c r="P40" i="1"/>
  <c r="L40" i="1"/>
  <c r="P38" i="1"/>
  <c r="P35" i="1"/>
  <c r="O34" i="1"/>
  <c r="P34" i="1"/>
  <c r="L34" i="1"/>
  <c r="F34" i="1"/>
  <c r="H33" i="1"/>
  <c r="O33" i="1"/>
  <c r="P33" i="1"/>
  <c r="F32" i="1"/>
  <c r="O32" i="1"/>
  <c r="O31" i="1"/>
  <c r="P31" i="1"/>
  <c r="L31" i="1"/>
  <c r="O30" i="1"/>
  <c r="P30" i="1"/>
  <c r="P29" i="1"/>
  <c r="O29" i="1"/>
  <c r="P28" i="1"/>
  <c r="O27" i="1"/>
  <c r="L27" i="1"/>
  <c r="P27" i="1"/>
  <c r="P26" i="1"/>
  <c r="P23" i="1"/>
  <c r="O22" i="1"/>
  <c r="P22" i="1"/>
  <c r="P21" i="1"/>
  <c r="O21" i="1"/>
  <c r="P20" i="1"/>
  <c r="O19" i="1"/>
  <c r="P17" i="1"/>
  <c r="P16" i="1"/>
  <c r="P15" i="1"/>
  <c r="L15" i="1"/>
  <c r="P14" i="1"/>
  <c r="O14" i="1"/>
  <c r="P13" i="1"/>
  <c r="O13" i="1"/>
  <c r="O12" i="1"/>
  <c r="P11" i="1"/>
  <c r="O11" i="1"/>
  <c r="O10" i="1"/>
  <c r="P10" i="1"/>
  <c r="P8" i="1"/>
  <c r="P7" i="1"/>
  <c r="O7" i="1"/>
  <c r="P5" i="1"/>
  <c r="P4" i="1"/>
  <c r="O4" i="1"/>
  <c r="H7" i="1" l="1"/>
  <c r="K7" i="1"/>
  <c r="M7" i="1" s="1"/>
  <c r="H8" i="1"/>
  <c r="K8" i="1"/>
  <c r="H9" i="1"/>
  <c r="K9" i="1"/>
  <c r="H89" i="1"/>
  <c r="K89" i="1"/>
  <c r="M9" i="1" l="1"/>
  <c r="U9" i="1" s="1"/>
  <c r="M8" i="1"/>
  <c r="T8" i="1" s="1"/>
  <c r="T7" i="1"/>
  <c r="U7" i="1"/>
  <c r="M89" i="1"/>
  <c r="U89" i="1" s="1"/>
  <c r="W89" i="1" s="1"/>
  <c r="K74" i="1"/>
  <c r="H74" i="1"/>
  <c r="H22" i="1"/>
  <c r="F97" i="1"/>
  <c r="H96" i="1"/>
  <c r="R97" i="1"/>
  <c r="K33" i="1"/>
  <c r="H50" i="1"/>
  <c r="K50" i="1"/>
  <c r="H51" i="1"/>
  <c r="K51" i="1"/>
  <c r="U8" i="1" l="1"/>
  <c r="T9" i="1"/>
  <c r="F98" i="1"/>
  <c r="R103" i="1"/>
  <c r="M74" i="1"/>
  <c r="T74" i="1" s="1"/>
  <c r="T89" i="1"/>
  <c r="M50" i="1"/>
  <c r="U50" i="1" s="1"/>
  <c r="M33" i="1"/>
  <c r="U33" i="1" s="1"/>
  <c r="M51" i="1"/>
  <c r="U51" i="1" s="1"/>
  <c r="H21" i="1"/>
  <c r="H94" i="1"/>
  <c r="U74" i="1" l="1"/>
  <c r="W74" i="1" s="1"/>
  <c r="T50" i="1"/>
  <c r="T33" i="1"/>
  <c r="T51" i="1"/>
  <c r="I97" i="1"/>
  <c r="R104" i="1" l="1"/>
  <c r="I98" i="1"/>
  <c r="O105" i="1"/>
  <c r="R105" i="1" s="1"/>
  <c r="R107" i="1" l="1"/>
  <c r="O111" i="1" s="1"/>
  <c r="H61" i="1"/>
  <c r="K61" i="1"/>
  <c r="H62" i="1"/>
  <c r="K62" i="1"/>
  <c r="H23" i="1"/>
  <c r="M62" i="1" l="1"/>
  <c r="U62" i="1" s="1"/>
  <c r="M61" i="1"/>
  <c r="U61" i="1" s="1"/>
  <c r="M97" i="1"/>
  <c r="T62" i="1" l="1"/>
  <c r="T61" i="1"/>
  <c r="H52" i="1"/>
  <c r="S97" i="1"/>
  <c r="Q98" i="1"/>
  <c r="K5" i="1"/>
  <c r="K6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M23" i="1" s="1"/>
  <c r="U23" i="1" s="1"/>
  <c r="K24" i="1"/>
  <c r="K25" i="1"/>
  <c r="K26" i="1"/>
  <c r="K27" i="1"/>
  <c r="K28" i="1"/>
  <c r="K29" i="1"/>
  <c r="K30" i="1"/>
  <c r="K31" i="1"/>
  <c r="K32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2" i="1"/>
  <c r="K53" i="1"/>
  <c r="K54" i="1"/>
  <c r="K55" i="1"/>
  <c r="K56" i="1"/>
  <c r="K57" i="1"/>
  <c r="K58" i="1"/>
  <c r="K59" i="1"/>
  <c r="K60" i="1"/>
  <c r="K63" i="1"/>
  <c r="K64" i="1"/>
  <c r="K65" i="1"/>
  <c r="K66" i="1"/>
  <c r="K67" i="1"/>
  <c r="K68" i="1"/>
  <c r="K69" i="1"/>
  <c r="K70" i="1"/>
  <c r="K71" i="1"/>
  <c r="K72" i="1"/>
  <c r="K73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90" i="1"/>
  <c r="K91" i="1"/>
  <c r="K92" i="1"/>
  <c r="K93" i="1"/>
  <c r="K94" i="1"/>
  <c r="M94" i="1" s="1"/>
  <c r="U94" i="1" s="1"/>
  <c r="K95" i="1"/>
  <c r="K96" i="1"/>
  <c r="H5" i="1"/>
  <c r="H6" i="1"/>
  <c r="H10" i="1"/>
  <c r="H11" i="1"/>
  <c r="H12" i="1"/>
  <c r="H13" i="1"/>
  <c r="H14" i="1"/>
  <c r="H15" i="1"/>
  <c r="H16" i="1"/>
  <c r="H17" i="1"/>
  <c r="H18" i="1"/>
  <c r="H19" i="1"/>
  <c r="H20" i="1"/>
  <c r="H24" i="1"/>
  <c r="H25" i="1"/>
  <c r="H26" i="1"/>
  <c r="H27" i="1"/>
  <c r="H28" i="1"/>
  <c r="H29" i="1"/>
  <c r="H30" i="1"/>
  <c r="H31" i="1"/>
  <c r="H32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3" i="1"/>
  <c r="H54" i="1"/>
  <c r="H55" i="1"/>
  <c r="H56" i="1"/>
  <c r="H57" i="1"/>
  <c r="H58" i="1"/>
  <c r="H59" i="1"/>
  <c r="H60" i="1"/>
  <c r="H63" i="1"/>
  <c r="H64" i="1"/>
  <c r="H65" i="1"/>
  <c r="H66" i="1"/>
  <c r="H67" i="1"/>
  <c r="H68" i="1"/>
  <c r="H69" i="1"/>
  <c r="H70" i="1"/>
  <c r="H71" i="1"/>
  <c r="H72" i="1"/>
  <c r="H73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90" i="1"/>
  <c r="H91" i="1"/>
  <c r="H92" i="1"/>
  <c r="H93" i="1"/>
  <c r="H95" i="1"/>
  <c r="K4" i="1"/>
  <c r="H4" i="1"/>
  <c r="L98" i="1"/>
  <c r="M95" i="1" l="1"/>
  <c r="U95" i="1" s="1"/>
  <c r="M91" i="1"/>
  <c r="U91" i="1" s="1"/>
  <c r="W91" i="1" s="1"/>
  <c r="M59" i="1"/>
  <c r="U59" i="1" s="1"/>
  <c r="M86" i="1"/>
  <c r="U86" i="1" s="1"/>
  <c r="W86" i="1" s="1"/>
  <c r="M82" i="1"/>
  <c r="U82" i="1" s="1"/>
  <c r="W82" i="1" s="1"/>
  <c r="M70" i="1"/>
  <c r="U70" i="1" s="1"/>
  <c r="M67" i="1"/>
  <c r="U67" i="1" s="1"/>
  <c r="M66" i="1"/>
  <c r="U66" i="1" s="1"/>
  <c r="M90" i="1"/>
  <c r="U90" i="1" s="1"/>
  <c r="W90" i="1" s="1"/>
  <c r="M78" i="1"/>
  <c r="U78" i="1" s="1"/>
  <c r="W78" i="1" s="1"/>
  <c r="M71" i="1"/>
  <c r="U71" i="1" s="1"/>
  <c r="M5" i="1"/>
  <c r="U5" i="1" s="1"/>
  <c r="M20" i="1"/>
  <c r="U20" i="1" s="1"/>
  <c r="M16" i="1"/>
  <c r="U16" i="1" s="1"/>
  <c r="M12" i="1"/>
  <c r="U12" i="1" s="1"/>
  <c r="M48" i="1"/>
  <c r="U48" i="1" s="1"/>
  <c r="M44" i="1"/>
  <c r="U44" i="1" s="1"/>
  <c r="M40" i="1"/>
  <c r="U40" i="1" s="1"/>
  <c r="M36" i="1"/>
  <c r="U36" i="1" s="1"/>
  <c r="M31" i="1"/>
  <c r="U31" i="1" s="1"/>
  <c r="M27" i="1"/>
  <c r="U27" i="1" s="1"/>
  <c r="M24" i="1"/>
  <c r="U24" i="1" s="1"/>
  <c r="M6" i="1"/>
  <c r="U6" i="1" s="1"/>
  <c r="M4" i="1"/>
  <c r="U4" i="1" s="1"/>
  <c r="T23" i="1"/>
  <c r="T94" i="1"/>
  <c r="M39" i="1"/>
  <c r="U39" i="1" s="1"/>
  <c r="M35" i="1"/>
  <c r="U35" i="1" s="1"/>
  <c r="W35" i="1" s="1"/>
  <c r="M30" i="1"/>
  <c r="U30" i="1" s="1"/>
  <c r="M26" i="1"/>
  <c r="U26" i="1" s="1"/>
  <c r="M19" i="1"/>
  <c r="U19" i="1" s="1"/>
  <c r="M15" i="1"/>
  <c r="U15" i="1" s="1"/>
  <c r="M11" i="1"/>
  <c r="U11" i="1" s="1"/>
  <c r="M47" i="1"/>
  <c r="U47" i="1" s="1"/>
  <c r="M46" i="1"/>
  <c r="U46" i="1" s="1"/>
  <c r="M42" i="1"/>
  <c r="U42" i="1" s="1"/>
  <c r="M38" i="1"/>
  <c r="U38" i="1" s="1"/>
  <c r="M34" i="1"/>
  <c r="U34" i="1" s="1"/>
  <c r="M29" i="1"/>
  <c r="U29" i="1" s="1"/>
  <c r="M25" i="1"/>
  <c r="U25" i="1" s="1"/>
  <c r="M18" i="1"/>
  <c r="U18" i="1" s="1"/>
  <c r="M49" i="1"/>
  <c r="M45" i="1"/>
  <c r="U45" i="1" s="1"/>
  <c r="M41" i="1"/>
  <c r="U41" i="1" s="1"/>
  <c r="M37" i="1"/>
  <c r="U37" i="1" s="1"/>
  <c r="M28" i="1"/>
  <c r="U28" i="1" s="1"/>
  <c r="M21" i="1"/>
  <c r="U21" i="1" s="1"/>
  <c r="M17" i="1"/>
  <c r="U17" i="1" s="1"/>
  <c r="M13" i="1"/>
  <c r="M87" i="1"/>
  <c r="U87" i="1" s="1"/>
  <c r="W87" i="1" s="1"/>
  <c r="M83" i="1"/>
  <c r="U83" i="1" s="1"/>
  <c r="W83" i="1" s="1"/>
  <c r="M79" i="1"/>
  <c r="U79" i="1" s="1"/>
  <c r="W79" i="1" s="1"/>
  <c r="M75" i="1"/>
  <c r="U75" i="1" s="1"/>
  <c r="W75" i="1" s="1"/>
  <c r="M63" i="1"/>
  <c r="U63" i="1" s="1"/>
  <c r="M58" i="1"/>
  <c r="U58" i="1" s="1"/>
  <c r="M55" i="1"/>
  <c r="U55" i="1" s="1"/>
  <c r="W55" i="1" s="1"/>
  <c r="M54" i="1"/>
  <c r="U54" i="1" s="1"/>
  <c r="M32" i="1"/>
  <c r="U32" i="1" s="1"/>
  <c r="M22" i="1"/>
  <c r="U22" i="1" s="1"/>
  <c r="M14" i="1"/>
  <c r="U14" i="1" s="1"/>
  <c r="M10" i="1"/>
  <c r="U10" i="1" s="1"/>
  <c r="M93" i="1"/>
  <c r="U93" i="1" s="1"/>
  <c r="W93" i="1" s="1"/>
  <c r="M85" i="1"/>
  <c r="U85" i="1" s="1"/>
  <c r="W85" i="1" s="1"/>
  <c r="M77" i="1"/>
  <c r="U77" i="1" s="1"/>
  <c r="W77" i="1" s="1"/>
  <c r="M69" i="1"/>
  <c r="U69" i="1" s="1"/>
  <c r="M96" i="1"/>
  <c r="U96" i="1" s="1"/>
  <c r="M92" i="1"/>
  <c r="U92" i="1" s="1"/>
  <c r="W92" i="1" s="1"/>
  <c r="M88" i="1"/>
  <c r="U88" i="1" s="1"/>
  <c r="W88" i="1" s="1"/>
  <c r="M84" i="1"/>
  <c r="U84" i="1" s="1"/>
  <c r="W84" i="1" s="1"/>
  <c r="M80" i="1"/>
  <c r="U80" i="1" s="1"/>
  <c r="W80" i="1" s="1"/>
  <c r="M76" i="1"/>
  <c r="U76" i="1" s="1"/>
  <c r="W76" i="1" s="1"/>
  <c r="M72" i="1"/>
  <c r="U72" i="1" s="1"/>
  <c r="M68" i="1"/>
  <c r="U68" i="1" s="1"/>
  <c r="M64" i="1"/>
  <c r="U64" i="1" s="1"/>
  <c r="M60" i="1"/>
  <c r="U60" i="1" s="1"/>
  <c r="M56" i="1"/>
  <c r="U56" i="1" s="1"/>
  <c r="M81" i="1"/>
  <c r="U81" i="1" s="1"/>
  <c r="M73" i="1"/>
  <c r="U73" i="1" s="1"/>
  <c r="W73" i="1" s="1"/>
  <c r="M65" i="1"/>
  <c r="U65" i="1" s="1"/>
  <c r="M57" i="1"/>
  <c r="U57" i="1" s="1"/>
  <c r="M53" i="1"/>
  <c r="U53" i="1" s="1"/>
  <c r="M52" i="1"/>
  <c r="U52" i="1" s="1"/>
  <c r="M43" i="1"/>
  <c r="U43" i="1" s="1"/>
  <c r="Q97" i="1"/>
  <c r="P98" i="1"/>
  <c r="W97" i="1" l="1"/>
  <c r="O112" i="1"/>
  <c r="O113" i="1" s="1"/>
  <c r="U49" i="1"/>
  <c r="T49" i="1"/>
  <c r="T95" i="1"/>
  <c r="T91" i="1"/>
  <c r="T58" i="1"/>
  <c r="T27" i="1"/>
  <c r="T44" i="1"/>
  <c r="T78" i="1"/>
  <c r="T70" i="1"/>
  <c r="T20" i="1"/>
  <c r="T36" i="1"/>
  <c r="T66" i="1"/>
  <c r="T12" i="1"/>
  <c r="T71" i="1"/>
  <c r="T67" i="1"/>
  <c r="T86" i="1"/>
  <c r="T82" i="1"/>
  <c r="T90" i="1"/>
  <c r="T48" i="1"/>
  <c r="T31" i="1"/>
  <c r="T16" i="1"/>
  <c r="T24" i="1"/>
  <c r="T40" i="1"/>
  <c r="T4" i="1"/>
  <c r="T65" i="1"/>
  <c r="T72" i="1"/>
  <c r="T77" i="1"/>
  <c r="T63" i="1"/>
  <c r="T17" i="1"/>
  <c r="T18" i="1"/>
  <c r="T47" i="1"/>
  <c r="T30" i="1"/>
  <c r="T52" i="1"/>
  <c r="T60" i="1"/>
  <c r="T92" i="1"/>
  <c r="T14" i="1"/>
  <c r="T75" i="1"/>
  <c r="T21" i="1"/>
  <c r="T25" i="1"/>
  <c r="T35" i="1"/>
  <c r="T81" i="1"/>
  <c r="T80" i="1"/>
  <c r="T96" i="1"/>
  <c r="T93" i="1"/>
  <c r="T22" i="1"/>
  <c r="T79" i="1"/>
  <c r="T45" i="1"/>
  <c r="T29" i="1"/>
  <c r="T46" i="1"/>
  <c r="T19" i="1"/>
  <c r="T39" i="1"/>
  <c r="T43" i="1"/>
  <c r="T56" i="1"/>
  <c r="T88" i="1"/>
  <c r="T10" i="1"/>
  <c r="T54" i="1"/>
  <c r="T87" i="1"/>
  <c r="T37" i="1"/>
  <c r="T38" i="1"/>
  <c r="T11" i="1"/>
  <c r="T73" i="1"/>
  <c r="T76" i="1"/>
  <c r="T85" i="1"/>
  <c r="T55" i="1"/>
  <c r="T5" i="1"/>
  <c r="T41" i="1"/>
  <c r="T42" i="1"/>
  <c r="T15" i="1"/>
  <c r="T53" i="1"/>
  <c r="T64" i="1"/>
  <c r="T57" i="1"/>
  <c r="T68" i="1"/>
  <c r="T84" i="1"/>
  <c r="T69" i="1"/>
  <c r="T6" i="1"/>
  <c r="T32" i="1"/>
  <c r="T59" i="1"/>
  <c r="T83" i="1"/>
  <c r="T28" i="1"/>
  <c r="T34" i="1"/>
  <c r="T26" i="1"/>
  <c r="M98" i="1"/>
  <c r="T13" i="1"/>
  <c r="O98" i="1"/>
  <c r="U13" i="1"/>
  <c r="R111" i="1" l="1"/>
  <c r="R113" i="1" s="1"/>
  <c r="U97" i="1"/>
  <c r="T97" i="1"/>
  <c r="T98" i="1" s="1"/>
</calcChain>
</file>

<file path=xl/sharedStrings.xml><?xml version="1.0" encoding="utf-8"?>
<sst xmlns="http://schemas.openxmlformats.org/spreadsheetml/2006/main" count="174" uniqueCount="79">
  <si>
    <t xml:space="preserve">             East West Filling Station </t>
  </si>
  <si>
    <t>Sl.No.</t>
  </si>
  <si>
    <t>Date</t>
  </si>
  <si>
    <t>LPG L</t>
  </si>
  <si>
    <t>Octane L</t>
  </si>
  <si>
    <t>Diesel L</t>
  </si>
  <si>
    <t>Due Paid</t>
  </si>
  <si>
    <t>Amount</t>
  </si>
  <si>
    <t>Due tk</t>
  </si>
  <si>
    <t xml:space="preserve">Expendiser </t>
  </si>
  <si>
    <t>Pay Order</t>
  </si>
  <si>
    <t>Total Balance</t>
  </si>
  <si>
    <t>Day</t>
  </si>
  <si>
    <t>Eveing</t>
  </si>
  <si>
    <t>Night</t>
  </si>
  <si>
    <t>Cell Ltr</t>
  </si>
  <si>
    <t>Cell Amount</t>
  </si>
  <si>
    <t>Net Balance</t>
  </si>
  <si>
    <t>Profit</t>
  </si>
  <si>
    <t>Octane</t>
  </si>
  <si>
    <t>Diesel</t>
  </si>
  <si>
    <t>Total</t>
  </si>
  <si>
    <t>Net Profit</t>
  </si>
  <si>
    <t>O. Price</t>
  </si>
  <si>
    <t>L. Price</t>
  </si>
  <si>
    <t>D.Price</t>
  </si>
  <si>
    <t>LPG 
Amount</t>
  </si>
  <si>
    <t>Octane 
Amount</t>
  </si>
  <si>
    <t>Diesel 
Amount</t>
  </si>
  <si>
    <t xml:space="preserve"> Poss Sell
(EBL)</t>
  </si>
  <si>
    <t xml:space="preserve"> Expenses</t>
  </si>
  <si>
    <t>Extra Oil /Liter</t>
  </si>
  <si>
    <t xml:space="preserve">Profit Amount </t>
  </si>
  <si>
    <t>Name</t>
  </si>
  <si>
    <t>Staff Sallary</t>
  </si>
  <si>
    <t>Electricity bill</t>
  </si>
  <si>
    <t>Extra Oil</t>
  </si>
  <si>
    <t>Tank Lorry Oil bill</t>
  </si>
  <si>
    <t xml:space="preserve">Total </t>
  </si>
  <si>
    <t>Total Expenses</t>
  </si>
  <si>
    <t>Gross profit</t>
  </si>
  <si>
    <t>Total Profit</t>
  </si>
  <si>
    <t xml:space="preserve">MD Sir </t>
  </si>
  <si>
    <t>Office Expenses</t>
  </si>
  <si>
    <t>Due Pay+ 
Total Balance</t>
  </si>
  <si>
    <t>Md / Sallary</t>
  </si>
  <si>
    <t>4.05.26</t>
  </si>
  <si>
    <t>Eid Ul-Fitor Bonus</t>
  </si>
  <si>
    <t>1.06.26</t>
  </si>
  <si>
    <t>2.06.26</t>
  </si>
  <si>
    <t>3.06.26</t>
  </si>
  <si>
    <t>5.06.26</t>
  </si>
  <si>
    <t>6.06.26</t>
  </si>
  <si>
    <t>7.06.26</t>
  </si>
  <si>
    <t>8.06.26</t>
  </si>
  <si>
    <t>9.06.26</t>
  </si>
  <si>
    <t>10.06.26</t>
  </si>
  <si>
    <t>11.06.26</t>
  </si>
  <si>
    <t>12.06.26</t>
  </si>
  <si>
    <t>13.06.26</t>
  </si>
  <si>
    <t>14.06.26</t>
  </si>
  <si>
    <t>15.06.26</t>
  </si>
  <si>
    <t>16.06.26</t>
  </si>
  <si>
    <t>17.06.26</t>
  </si>
  <si>
    <t>18.06.26</t>
  </si>
  <si>
    <t>19.06.26</t>
  </si>
  <si>
    <t>20.06.26</t>
  </si>
  <si>
    <t>21.06.26</t>
  </si>
  <si>
    <t>22.06.26</t>
  </si>
  <si>
    <t>23.06.26</t>
  </si>
  <si>
    <t>24.06.26</t>
  </si>
  <si>
    <t>25.06.26</t>
  </si>
  <si>
    <t>26.06.26</t>
  </si>
  <si>
    <t>27.06.26</t>
  </si>
  <si>
    <t>28.06.26</t>
  </si>
  <si>
    <t>29.06.26</t>
  </si>
  <si>
    <t>30.06.26</t>
  </si>
  <si>
    <t>31-06-2026</t>
  </si>
  <si>
    <t xml:space="preserve">         Monthly Report - Jun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</si>
</sst>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0"/>
      <color rgb="FF000000"/>
      <name val="Calibri"/>
      <scheme val="minor"/>
    </font>
    <font>
      <sz val="10"/>
      <name val="Calibri"/>
    </font>
    <font>
      <b/>
      <sz val="10"/>
      <name val="Arial"/>
    </font>
    <font>
      <sz val="10"/>
      <name val="Arial"/>
    </font>
    <font>
      <b/>
      <sz val="12"/>
      <name val="Arial"/>
    </font>
    <font>
      <b/>
      <sz val="10"/>
      <color rgb="FF800080"/>
      <name val="Arial"/>
    </font>
    <font>
      <sz val="10"/>
      <color rgb="FF000000"/>
      <name val="Calibri"/>
      <family val="2"/>
      <scheme val="minor"/>
    </font>
    <font>
      <b/>
      <sz val="20"/>
      <name val="Arial"/>
      <family val="2"/>
    </font>
    <font>
      <b/>
      <sz val="12"/>
      <name val="Arial"/>
      <family val="2"/>
    </font>
    <font>
      <sz val="14"/>
      <color rgb="FF000000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9966"/>
        <bgColor rgb="FF339966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99CC"/>
        <bgColor rgb="FFFF99C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3" fillId="0" borderId="2" xfId="0" applyFont="1" applyBorder="1"/>
    <xf numFmtId="43" fontId="3" fillId="3" borderId="2" xfId="0" applyNumberFormat="1" applyFont="1" applyFill="1" applyBorder="1"/>
    <xf numFmtId="43" fontId="3" fillId="5" borderId="2" xfId="0" applyNumberFormat="1" applyFont="1" applyFill="1" applyBorder="1"/>
    <xf numFmtId="43" fontId="3" fillId="2" borderId="2" xfId="0" applyNumberFormat="1" applyFont="1" applyFill="1" applyBorder="1"/>
    <xf numFmtId="43" fontId="3" fillId="6" borderId="2" xfId="0" applyNumberFormat="1" applyFont="1" applyFill="1" applyBorder="1"/>
    <xf numFmtId="43" fontId="3" fillId="0" borderId="2" xfId="0" applyNumberFormat="1" applyFont="1" applyBorder="1"/>
    <xf numFmtId="43" fontId="3" fillId="0" borderId="0" xfId="0" applyNumberFormat="1" applyFont="1"/>
    <xf numFmtId="43" fontId="3" fillId="7" borderId="2" xfId="0" applyNumberFormat="1" applyFont="1" applyFill="1" applyBorder="1"/>
    <xf numFmtId="0" fontId="2" fillId="0" borderId="2" xfId="0" applyFont="1" applyBorder="1"/>
    <xf numFmtId="0" fontId="2" fillId="0" borderId="5" xfId="0" applyFont="1" applyBorder="1"/>
    <xf numFmtId="43" fontId="3" fillId="8" borderId="3" xfId="0" applyNumberFormat="1" applyFont="1" applyFill="1" applyBorder="1"/>
    <xf numFmtId="43" fontId="5" fillId="8" borderId="3" xfId="0" applyNumberFormat="1" applyFont="1" applyFill="1" applyBorder="1"/>
    <xf numFmtId="43" fontId="4" fillId="8" borderId="2" xfId="0" applyNumberFormat="1" applyFont="1" applyFill="1" applyBorder="1"/>
    <xf numFmtId="0" fontId="2" fillId="0" borderId="2" xfId="0" applyFont="1" applyBorder="1" applyAlignment="1">
      <alignment horizontal="center"/>
    </xf>
    <xf numFmtId="43" fontId="3" fillId="9" borderId="2" xfId="0" applyNumberFormat="1" applyFont="1" applyFill="1" applyBorder="1"/>
    <xf numFmtId="43" fontId="2" fillId="0" borderId="2" xfId="0" applyNumberFormat="1" applyFont="1" applyBorder="1"/>
    <xf numFmtId="43" fontId="4" fillId="0" borderId="2" xfId="0" applyNumberFormat="1" applyFont="1" applyBorder="1"/>
    <xf numFmtId="43" fontId="3" fillId="8" borderId="5" xfId="0" applyNumberFormat="1" applyFont="1" applyFill="1" applyBorder="1"/>
    <xf numFmtId="0" fontId="3" fillId="10" borderId="2" xfId="0" applyFont="1" applyFill="1" applyBorder="1"/>
    <xf numFmtId="43" fontId="3" fillId="11" borderId="1" xfId="0" applyNumberFormat="1" applyFont="1" applyFill="1" applyBorder="1"/>
    <xf numFmtId="43" fontId="3" fillId="8" borderId="9" xfId="0" applyNumberFormat="1" applyFont="1" applyFill="1" applyBorder="1"/>
    <xf numFmtId="43" fontId="3" fillId="9" borderId="6" xfId="0" applyNumberFormat="1" applyFont="1" applyFill="1" applyBorder="1"/>
    <xf numFmtId="43" fontId="3" fillId="8" borderId="10" xfId="0" applyNumberFormat="1" applyFont="1" applyFill="1" applyBorder="1"/>
    <xf numFmtId="43" fontId="2" fillId="9" borderId="7" xfId="0" applyNumberFormat="1" applyFont="1" applyFill="1" applyBorder="1"/>
    <xf numFmtId="43" fontId="2" fillId="9" borderId="8" xfId="0" applyNumberFormat="1" applyFont="1" applyFill="1" applyBorder="1"/>
    <xf numFmtId="0" fontId="0" fillId="0" borderId="8" xfId="0" applyBorder="1"/>
    <xf numFmtId="0" fontId="6" fillId="0" borderId="8" xfId="0" applyFont="1" applyBorder="1"/>
    <xf numFmtId="0" fontId="0" fillId="0" borderId="0" xfId="0" applyProtection="1">
      <protection locked="0"/>
    </xf>
    <xf numFmtId="0" fontId="2" fillId="4" borderId="2" xfId="0" applyFont="1" applyFill="1" applyBorder="1" applyAlignment="1" applyProtection="1">
      <alignment vertical="top"/>
      <protection locked="0"/>
    </xf>
    <xf numFmtId="0" fontId="2" fillId="4" borderId="3" xfId="0" applyFont="1" applyFill="1" applyBorder="1" applyAlignment="1" applyProtection="1">
      <alignment vertical="top"/>
      <protection locked="0"/>
    </xf>
    <xf numFmtId="0" fontId="2" fillId="4" borderId="4" xfId="0" applyFont="1" applyFill="1" applyBorder="1" applyAlignment="1" applyProtection="1">
      <alignment vertical="top"/>
      <protection locked="0"/>
    </xf>
    <xf numFmtId="0" fontId="2" fillId="4" borderId="4" xfId="0" applyFont="1" applyFill="1" applyBorder="1" applyAlignment="1" applyProtection="1">
      <alignment vertical="top" wrapText="1"/>
      <protection locked="0"/>
    </xf>
    <xf numFmtId="0" fontId="3" fillId="0" borderId="0" xfId="0" applyFont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43" fontId="3" fillId="12" borderId="2" xfId="0" applyNumberFormat="1" applyFont="1" applyFill="1" applyBorder="1"/>
    <xf numFmtId="43" fontId="3" fillId="2" borderId="10" xfId="0" applyNumberFormat="1" applyFont="1" applyFill="1" applyBorder="1"/>
    <xf numFmtId="43" fontId="2" fillId="9" borderId="1" xfId="0" applyNumberFormat="1" applyFont="1" applyFill="1" applyBorder="1"/>
    <xf numFmtId="43" fontId="0" fillId="0" borderId="8" xfId="1" applyFont="1" applyBorder="1"/>
    <xf numFmtId="43" fontId="0" fillId="0" borderId="0" xfId="0" applyNumberFormat="1"/>
    <xf numFmtId="0" fontId="0" fillId="0" borderId="1" xfId="0" applyBorder="1"/>
    <xf numFmtId="43" fontId="0" fillId="0" borderId="1" xfId="0" applyNumberFormat="1" applyBorder="1"/>
    <xf numFmtId="43" fontId="0" fillId="0" borderId="1" xfId="1" applyFont="1" applyBorder="1"/>
    <xf numFmtId="0" fontId="6" fillId="0" borderId="1" xfId="0" applyFont="1" applyBorder="1"/>
    <xf numFmtId="14" fontId="3" fillId="0" borderId="2" xfId="0" applyNumberFormat="1" applyFont="1" applyBorder="1"/>
    <xf numFmtId="0" fontId="11" fillId="0" borderId="0" xfId="0" applyFont="1"/>
    <xf numFmtId="0" fontId="11" fillId="0" borderId="8" xfId="0" applyFont="1" applyBorder="1"/>
    <xf numFmtId="0" fontId="11" fillId="0" borderId="1" xfId="0" applyFont="1" applyBorder="1"/>
    <xf numFmtId="43" fontId="0" fillId="14" borderId="0" xfId="0" applyNumberFormat="1" applyFill="1"/>
    <xf numFmtId="43" fontId="12" fillId="12" borderId="2" xfId="0" applyNumberFormat="1" applyFont="1" applyFill="1" applyBorder="1"/>
    <xf numFmtId="43" fontId="12" fillId="13" borderId="2" xfId="0" applyNumberFormat="1" applyFont="1" applyFill="1" applyBorder="1"/>
    <xf numFmtId="0" fontId="9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/>
    <xf numFmtId="0" fontId="7" fillId="2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30"/>
  <sheetViews>
    <sheetView tabSelected="1" topLeftCell="M1" zoomScaleNormal="100" workbookViewId="0">
      <pane ySplit="3" topLeftCell="A100" activePane="bottomLeft" state="frozen"/>
      <selection pane="bottomLeft" activeCell="R112" sqref="R112"/>
    </sheetView>
  </sheetViews>
  <sheetFormatPr defaultColWidth="14.42578125" defaultRowHeight="15" customHeight="1" x14ac:dyDescent="0.2"/>
  <cols>
    <col min="1" max="1" width="9.5703125" customWidth="1"/>
    <col min="2" max="2" width="8" customWidth="1"/>
    <col min="3" max="3" width="8" hidden="1" customWidth="1"/>
    <col min="4" max="5" width="9" hidden="1" customWidth="1"/>
    <col min="6" max="6" width="15.140625" customWidth="1"/>
    <col min="7" max="7" width="8.28515625" customWidth="1"/>
    <col min="8" max="8" width="12.85546875" bestFit="1" customWidth="1"/>
    <col min="9" max="9" width="18" customWidth="1"/>
    <col min="10" max="10" width="8.28515625" customWidth="1"/>
    <col min="11" max="11" width="14.42578125" customWidth="1"/>
    <col min="12" max="12" width="17.7109375" bestFit="1" customWidth="1"/>
    <col min="13" max="13" width="15.42578125" customWidth="1"/>
    <col min="14" max="14" width="5" customWidth="1"/>
    <col min="15" max="16" width="14.85546875" customWidth="1"/>
    <col min="17" max="18" width="12.85546875" customWidth="1"/>
    <col min="19" max="19" width="14.5703125" customWidth="1"/>
    <col min="20" max="20" width="19.42578125" customWidth="1"/>
    <col min="21" max="21" width="18.85546875" customWidth="1"/>
    <col min="22" max="22" width="11.28515625" bestFit="1" customWidth="1"/>
  </cols>
  <sheetData>
    <row r="1" spans="1:23" s="29" customFormat="1" ht="39" customHeight="1" x14ac:dyDescent="0.2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</row>
    <row r="2" spans="1:23" s="29" customFormat="1" ht="15.75" customHeight="1" x14ac:dyDescent="0.25">
      <c r="A2" s="57" t="s">
        <v>78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</row>
    <row r="3" spans="1:23" s="35" customFormat="1" ht="27" customHeight="1" x14ac:dyDescent="0.2">
      <c r="A3" s="30" t="s">
        <v>1</v>
      </c>
      <c r="B3" s="31" t="s">
        <v>2</v>
      </c>
      <c r="C3" s="32" t="s">
        <v>3</v>
      </c>
      <c r="D3" s="32" t="s">
        <v>24</v>
      </c>
      <c r="E3" s="33" t="s">
        <v>26</v>
      </c>
      <c r="F3" s="32" t="s">
        <v>4</v>
      </c>
      <c r="G3" s="32" t="s">
        <v>23</v>
      </c>
      <c r="H3" s="33" t="s">
        <v>27</v>
      </c>
      <c r="I3" s="32" t="s">
        <v>5</v>
      </c>
      <c r="J3" s="32" t="s">
        <v>25</v>
      </c>
      <c r="K3" s="33" t="s">
        <v>28</v>
      </c>
      <c r="L3" s="32" t="s">
        <v>6</v>
      </c>
      <c r="M3" s="32" t="s">
        <v>7</v>
      </c>
      <c r="N3" s="32"/>
      <c r="O3" s="32" t="s">
        <v>8</v>
      </c>
      <c r="P3" s="33" t="s">
        <v>29</v>
      </c>
      <c r="Q3" s="32" t="s">
        <v>9</v>
      </c>
      <c r="R3" s="32" t="s">
        <v>45</v>
      </c>
      <c r="S3" s="32" t="s">
        <v>10</v>
      </c>
      <c r="T3" s="32" t="s">
        <v>11</v>
      </c>
      <c r="U3" s="33" t="s">
        <v>44</v>
      </c>
      <c r="V3" s="34"/>
    </row>
    <row r="4" spans="1:23" ht="12.75" customHeight="1" x14ac:dyDescent="0.2">
      <c r="A4" s="2" t="s">
        <v>12</v>
      </c>
      <c r="B4" s="2" t="s">
        <v>48</v>
      </c>
      <c r="C4" s="20"/>
      <c r="D4" s="20"/>
      <c r="E4" s="20"/>
      <c r="F4" s="3">
        <v>709.34</v>
      </c>
      <c r="G4" s="3">
        <v>145</v>
      </c>
      <c r="H4" s="3">
        <f>G4*F4</f>
        <v>102854.3</v>
      </c>
      <c r="I4" s="4">
        <v>2940.32</v>
      </c>
      <c r="J4" s="4">
        <v>115</v>
      </c>
      <c r="K4" s="4">
        <f>J4*I4</f>
        <v>338136.80000000005</v>
      </c>
      <c r="L4" s="6"/>
      <c r="M4" s="5">
        <f>K4+H4+E4+L4</f>
        <v>440991.10000000003</v>
      </c>
      <c r="N4" s="5"/>
      <c r="O4" s="7">
        <f>164840+2200</f>
        <v>167040</v>
      </c>
      <c r="P4" s="7">
        <f>4100+2000+6900+1450+3000+2300+23000+1000</f>
        <v>43750</v>
      </c>
      <c r="Q4" s="36"/>
      <c r="R4" s="36"/>
      <c r="S4" s="7"/>
      <c r="T4" s="7">
        <f t="shared" ref="T4:T24" si="0">M4-O4-P4</f>
        <v>230201.10000000003</v>
      </c>
      <c r="U4" s="7">
        <f>M4-O4-P4-Q4-S4-R4</f>
        <v>230201.10000000003</v>
      </c>
      <c r="V4" s="1">
        <v>230200</v>
      </c>
      <c r="W4" s="40">
        <f>U4-V4</f>
        <v>1.1000000000349246</v>
      </c>
    </row>
    <row r="5" spans="1:23" ht="12.75" customHeight="1" x14ac:dyDescent="0.2">
      <c r="A5" s="2" t="s">
        <v>13</v>
      </c>
      <c r="B5" s="2"/>
      <c r="C5" s="20"/>
      <c r="D5" s="20"/>
      <c r="E5" s="20"/>
      <c r="F5" s="3">
        <v>639.72</v>
      </c>
      <c r="G5" s="3">
        <v>145</v>
      </c>
      <c r="H5" s="3">
        <f t="shared" ref="H5:H68" si="1">G5*F5</f>
        <v>92759.400000000009</v>
      </c>
      <c r="I5" s="4">
        <v>1487.79</v>
      </c>
      <c r="J5" s="4">
        <v>115</v>
      </c>
      <c r="K5" s="4">
        <f t="shared" ref="K5:K68" si="2">J5*I5</f>
        <v>171095.85</v>
      </c>
      <c r="L5" s="6"/>
      <c r="M5" s="5">
        <f>K5+H5+E5+L5</f>
        <v>263855.25</v>
      </c>
      <c r="N5" s="5"/>
      <c r="O5" s="7">
        <v>20415</v>
      </c>
      <c r="P5" s="7">
        <f>4035+1348+8335+300</f>
        <v>14018</v>
      </c>
      <c r="Q5" s="36"/>
      <c r="R5" s="36"/>
      <c r="S5" s="7"/>
      <c r="T5" s="7">
        <f t="shared" si="0"/>
        <v>229422.25</v>
      </c>
      <c r="U5" s="7">
        <f t="shared" ref="U5:U68" si="3">M5-O5-P5-Q5-S5-R5</f>
        <v>229422.25</v>
      </c>
      <c r="V5" s="1">
        <v>229380</v>
      </c>
      <c r="W5" s="40">
        <f t="shared" ref="W5:W68" si="4">U5-V5</f>
        <v>42.25</v>
      </c>
    </row>
    <row r="6" spans="1:23" ht="12.75" customHeight="1" x14ac:dyDescent="0.2">
      <c r="A6" s="2" t="s">
        <v>14</v>
      </c>
      <c r="B6" s="2"/>
      <c r="C6" s="20"/>
      <c r="D6" s="20"/>
      <c r="E6" s="20"/>
      <c r="F6" s="3">
        <v>251.97</v>
      </c>
      <c r="G6" s="3">
        <v>145</v>
      </c>
      <c r="H6" s="3">
        <f t="shared" si="1"/>
        <v>36535.65</v>
      </c>
      <c r="I6" s="4">
        <v>2359.35</v>
      </c>
      <c r="J6" s="4">
        <v>115</v>
      </c>
      <c r="K6" s="4">
        <f t="shared" si="2"/>
        <v>271325.25</v>
      </c>
      <c r="L6" s="6"/>
      <c r="M6" s="5">
        <f>K6+H6+E6+L6</f>
        <v>307860.90000000002</v>
      </c>
      <c r="N6" s="5"/>
      <c r="O6" s="7">
        <v>5430</v>
      </c>
      <c r="P6" s="7">
        <v>1000</v>
      </c>
      <c r="Q6" s="36"/>
      <c r="R6" s="36"/>
      <c r="S6" s="7"/>
      <c r="T6" s="7">
        <f t="shared" si="0"/>
        <v>301430.90000000002</v>
      </c>
      <c r="U6" s="7">
        <f t="shared" si="3"/>
        <v>301430.90000000002</v>
      </c>
      <c r="V6" s="1">
        <v>301370</v>
      </c>
      <c r="W6" s="40">
        <f t="shared" si="4"/>
        <v>60.900000000023283</v>
      </c>
    </row>
    <row r="7" spans="1:23" ht="12.75" customHeight="1" x14ac:dyDescent="0.2">
      <c r="A7" s="2" t="s">
        <v>12</v>
      </c>
      <c r="B7" s="2" t="s">
        <v>49</v>
      </c>
      <c r="C7" s="20"/>
      <c r="D7" s="20"/>
      <c r="E7" s="20"/>
      <c r="F7" s="3">
        <v>554.11</v>
      </c>
      <c r="G7" s="3">
        <v>145</v>
      </c>
      <c r="H7" s="3">
        <f t="shared" ref="H7" si="5">G7*F7</f>
        <v>80345.95</v>
      </c>
      <c r="I7" s="4">
        <v>3456.76</v>
      </c>
      <c r="J7" s="4">
        <v>115</v>
      </c>
      <c r="K7" s="4">
        <f t="shared" ref="K7" si="6">J7*I7</f>
        <v>397527.4</v>
      </c>
      <c r="L7" s="6"/>
      <c r="M7" s="5">
        <f>K7+H7+E7+L7</f>
        <v>477873.35000000003</v>
      </c>
      <c r="N7" s="5"/>
      <c r="O7" s="7">
        <f>173931+750</f>
        <v>174681</v>
      </c>
      <c r="P7" s="7">
        <f>3221+1450+5750</f>
        <v>10421</v>
      </c>
      <c r="Q7" s="36"/>
      <c r="R7" s="36"/>
      <c r="S7" s="7"/>
      <c r="T7" s="7">
        <f t="shared" ref="T7" si="7">M7-O7-P7</f>
        <v>292771.35000000003</v>
      </c>
      <c r="U7" s="7">
        <f t="shared" ref="U7" si="8">M7-O7-P7-Q7-S7-R7</f>
        <v>292771.35000000003</v>
      </c>
      <c r="V7" s="1">
        <v>292720</v>
      </c>
      <c r="W7" s="40">
        <f t="shared" si="4"/>
        <v>51.350000000034925</v>
      </c>
    </row>
    <row r="8" spans="1:23" ht="12.75" customHeight="1" x14ac:dyDescent="0.2">
      <c r="A8" s="2" t="s">
        <v>13</v>
      </c>
      <c r="B8" s="2"/>
      <c r="C8" s="20"/>
      <c r="D8" s="20"/>
      <c r="E8" s="20"/>
      <c r="F8" s="3">
        <v>282.58</v>
      </c>
      <c r="G8" s="3">
        <v>145</v>
      </c>
      <c r="H8" s="3">
        <f t="shared" ref="H8" si="9">G8*F8</f>
        <v>40974.1</v>
      </c>
      <c r="I8" s="4">
        <v>2081.0100000000002</v>
      </c>
      <c r="J8" s="4">
        <v>115</v>
      </c>
      <c r="K8" s="4">
        <f t="shared" ref="K8" si="10">J8*I8</f>
        <v>239316.15000000002</v>
      </c>
      <c r="L8" s="6">
        <v>6200</v>
      </c>
      <c r="M8" s="5">
        <f t="shared" ref="M8" si="11">K8+H8+E8+L8</f>
        <v>286490.25</v>
      </c>
      <c r="N8" s="5"/>
      <c r="O8" s="7">
        <v>23179</v>
      </c>
      <c r="P8" s="7">
        <f>5000+1200+1714+1000+1000+8625</f>
        <v>18539</v>
      </c>
      <c r="Q8" s="36"/>
      <c r="R8" s="36"/>
      <c r="S8" s="7"/>
      <c r="T8" s="7">
        <f t="shared" ref="T8" si="12">M8-O8-P8</f>
        <v>244772.25</v>
      </c>
      <c r="U8" s="7">
        <f t="shared" ref="U8" si="13">M8-O8-P8-Q8-S8-R8</f>
        <v>244772.25</v>
      </c>
      <c r="V8" s="1">
        <v>244730</v>
      </c>
      <c r="W8" s="40">
        <f t="shared" si="4"/>
        <v>42.25</v>
      </c>
    </row>
    <row r="9" spans="1:23" ht="12.75" customHeight="1" x14ac:dyDescent="0.2">
      <c r="A9" s="2" t="s">
        <v>14</v>
      </c>
      <c r="B9" s="2"/>
      <c r="C9" s="20"/>
      <c r="D9" s="20"/>
      <c r="E9" s="20"/>
      <c r="F9" s="3">
        <v>134.66</v>
      </c>
      <c r="G9" s="3">
        <v>145</v>
      </c>
      <c r="H9" s="3">
        <f t="shared" ref="H9" si="14">G9*F9</f>
        <v>19525.7</v>
      </c>
      <c r="I9" s="4">
        <v>2307.94</v>
      </c>
      <c r="J9" s="4">
        <v>115</v>
      </c>
      <c r="K9" s="4">
        <f t="shared" ref="K9" si="15">J9*I9</f>
        <v>265413.10000000003</v>
      </c>
      <c r="L9" s="6"/>
      <c r="M9" s="5">
        <f t="shared" ref="M9" si="16">K9+H9+E9+L9</f>
        <v>284938.80000000005</v>
      </c>
      <c r="N9" s="5"/>
      <c r="O9" s="7">
        <v>9400</v>
      </c>
      <c r="P9" s="7">
        <v>2990</v>
      </c>
      <c r="Q9" s="36"/>
      <c r="R9" s="36"/>
      <c r="S9" s="7"/>
      <c r="T9" s="7">
        <f t="shared" ref="T9" si="17">M9-O9-P9</f>
        <v>272548.80000000005</v>
      </c>
      <c r="U9" s="7">
        <f t="shared" ref="U9" si="18">M9-O9-P9-Q9-S9-R9</f>
        <v>272548.80000000005</v>
      </c>
      <c r="V9" s="1">
        <v>272490</v>
      </c>
      <c r="W9" s="40">
        <f t="shared" si="4"/>
        <v>58.800000000046566</v>
      </c>
    </row>
    <row r="10" spans="1:23" ht="12.75" customHeight="1" x14ac:dyDescent="0.2">
      <c r="A10" s="2" t="s">
        <v>12</v>
      </c>
      <c r="B10" s="2" t="s">
        <v>50</v>
      </c>
      <c r="C10" s="20"/>
      <c r="D10" s="20"/>
      <c r="E10" s="20"/>
      <c r="F10" s="3">
        <v>606.62</v>
      </c>
      <c r="G10" s="3">
        <v>145</v>
      </c>
      <c r="H10" s="3">
        <f t="shared" si="1"/>
        <v>87959.9</v>
      </c>
      <c r="I10" s="4">
        <v>5329.57</v>
      </c>
      <c r="J10" s="4">
        <v>115</v>
      </c>
      <c r="K10" s="4">
        <f t="shared" si="2"/>
        <v>612900.54999999993</v>
      </c>
      <c r="L10" s="6"/>
      <c r="M10" s="5">
        <f t="shared" ref="M10:M68" si="19">K10+H10+E10+L10</f>
        <v>700860.45</v>
      </c>
      <c r="N10" s="5"/>
      <c r="O10" s="7">
        <f>169123+2218</f>
        <v>171341</v>
      </c>
      <c r="P10" s="7">
        <f>1800+100+500+8400+6900+6900+6440</f>
        <v>31040</v>
      </c>
      <c r="Q10" s="36">
        <v>24000</v>
      </c>
      <c r="R10" s="36"/>
      <c r="S10" s="36">
        <v>100000</v>
      </c>
      <c r="T10" s="7">
        <f t="shared" si="0"/>
        <v>498479.44999999995</v>
      </c>
      <c r="U10" s="7">
        <f t="shared" si="3"/>
        <v>374479.44999999995</v>
      </c>
      <c r="V10" s="1">
        <v>374476</v>
      </c>
      <c r="W10" s="40">
        <f t="shared" si="4"/>
        <v>3.4499999999534339</v>
      </c>
    </row>
    <row r="11" spans="1:23" ht="12.75" customHeight="1" x14ac:dyDescent="0.2">
      <c r="A11" s="2" t="s">
        <v>13</v>
      </c>
      <c r="B11" s="2"/>
      <c r="C11" s="20"/>
      <c r="D11" s="20"/>
      <c r="E11" s="20"/>
      <c r="F11" s="3">
        <v>429.92</v>
      </c>
      <c r="G11" s="3">
        <v>145</v>
      </c>
      <c r="H11" s="3">
        <f t="shared" si="1"/>
        <v>62338.400000000001</v>
      </c>
      <c r="I11" s="4">
        <v>5209.76</v>
      </c>
      <c r="J11" s="4">
        <v>115</v>
      </c>
      <c r="K11" s="4">
        <f t="shared" si="2"/>
        <v>599122.4</v>
      </c>
      <c r="L11" s="6"/>
      <c r="M11" s="5">
        <f t="shared" si="19"/>
        <v>661460.80000000005</v>
      </c>
      <c r="N11" s="5"/>
      <c r="O11" s="7">
        <f>115000+23000+4173+2300+3915+6670+2300+11500+2175+1000</f>
        <v>172033</v>
      </c>
      <c r="P11" s="7">
        <f>3020+20120+8000</f>
        <v>31140</v>
      </c>
      <c r="Q11" s="36"/>
      <c r="R11" s="36"/>
      <c r="S11" s="36"/>
      <c r="T11" s="7">
        <f t="shared" si="0"/>
        <v>458287.80000000005</v>
      </c>
      <c r="U11" s="7">
        <f t="shared" si="3"/>
        <v>458287.80000000005</v>
      </c>
      <c r="V11" s="1">
        <v>458220</v>
      </c>
      <c r="W11" s="40">
        <f t="shared" si="4"/>
        <v>67.800000000046566</v>
      </c>
    </row>
    <row r="12" spans="1:23" ht="12.75" customHeight="1" x14ac:dyDescent="0.2">
      <c r="A12" s="2" t="s">
        <v>14</v>
      </c>
      <c r="B12" s="2"/>
      <c r="C12" s="20"/>
      <c r="D12" s="20"/>
      <c r="E12" s="20"/>
      <c r="F12" s="3">
        <v>219.23</v>
      </c>
      <c r="G12" s="3">
        <v>145</v>
      </c>
      <c r="H12" s="3">
        <f t="shared" si="1"/>
        <v>31788.35</v>
      </c>
      <c r="I12" s="4">
        <v>4475.97</v>
      </c>
      <c r="J12" s="4">
        <v>115</v>
      </c>
      <c r="K12" s="4">
        <f t="shared" si="2"/>
        <v>514736.55000000005</v>
      </c>
      <c r="L12" s="6"/>
      <c r="M12" s="5">
        <f t="shared" si="19"/>
        <v>546524.9</v>
      </c>
      <c r="N12" s="5"/>
      <c r="O12" s="7">
        <f>16450+900</f>
        <v>17350</v>
      </c>
      <c r="P12" s="7"/>
      <c r="Q12" s="36"/>
      <c r="R12" s="36"/>
      <c r="S12" s="36"/>
      <c r="T12" s="7">
        <f t="shared" si="0"/>
        <v>529174.9</v>
      </c>
      <c r="U12" s="7">
        <f t="shared" si="3"/>
        <v>529174.9</v>
      </c>
      <c r="V12" s="1">
        <v>529180</v>
      </c>
      <c r="W12" s="40">
        <f t="shared" si="4"/>
        <v>-5.0999999999767169</v>
      </c>
    </row>
    <row r="13" spans="1:23" ht="12.75" customHeight="1" x14ac:dyDescent="0.2">
      <c r="A13" s="2" t="s">
        <v>12</v>
      </c>
      <c r="B13" s="2" t="s">
        <v>46</v>
      </c>
      <c r="C13" s="20"/>
      <c r="D13" s="20"/>
      <c r="E13" s="20"/>
      <c r="F13" s="3">
        <v>584.39</v>
      </c>
      <c r="G13" s="3">
        <v>145</v>
      </c>
      <c r="H13" s="3">
        <f t="shared" si="1"/>
        <v>84736.55</v>
      </c>
      <c r="I13" s="4">
        <v>5929.15</v>
      </c>
      <c r="J13" s="4">
        <v>115</v>
      </c>
      <c r="K13" s="4">
        <f t="shared" si="2"/>
        <v>681852.25</v>
      </c>
      <c r="L13" s="6">
        <v>10000</v>
      </c>
      <c r="M13" s="5">
        <f t="shared" si="19"/>
        <v>776588.80000000005</v>
      </c>
      <c r="N13" s="5"/>
      <c r="O13" s="7">
        <f>100113+6000</f>
        <v>106113</v>
      </c>
      <c r="P13" s="7">
        <f>1620+25500+35535+500</f>
        <v>63155</v>
      </c>
      <c r="Q13" s="36"/>
      <c r="R13" s="36"/>
      <c r="S13" s="36">
        <v>400000</v>
      </c>
      <c r="T13" s="7">
        <f t="shared" si="0"/>
        <v>607320.80000000005</v>
      </c>
      <c r="U13" s="7">
        <f t="shared" si="3"/>
        <v>207320.80000000005</v>
      </c>
      <c r="V13" s="1">
        <v>207320</v>
      </c>
      <c r="W13" s="40">
        <f t="shared" si="4"/>
        <v>0.80000000004656613</v>
      </c>
    </row>
    <row r="14" spans="1:23" ht="12.75" customHeight="1" x14ac:dyDescent="0.2">
      <c r="A14" s="2" t="s">
        <v>13</v>
      </c>
      <c r="B14" s="2"/>
      <c r="C14" s="20"/>
      <c r="D14" s="20"/>
      <c r="E14" s="20"/>
      <c r="F14" s="3">
        <v>547.41</v>
      </c>
      <c r="G14" s="3">
        <v>145</v>
      </c>
      <c r="H14" s="3">
        <f t="shared" si="1"/>
        <v>79374.45</v>
      </c>
      <c r="I14" s="4">
        <v>4626.26</v>
      </c>
      <c r="J14" s="4">
        <v>115</v>
      </c>
      <c r="K14" s="4">
        <f t="shared" si="2"/>
        <v>532019.9</v>
      </c>
      <c r="L14" s="6"/>
      <c r="M14" s="5">
        <f t="shared" si="19"/>
        <v>611394.35</v>
      </c>
      <c r="N14" s="5"/>
      <c r="O14" s="7">
        <f>166396+650</f>
        <v>167046</v>
      </c>
      <c r="P14" s="7">
        <f>3000+3500</f>
        <v>6500</v>
      </c>
      <c r="Q14" s="36">
        <v>51540</v>
      </c>
      <c r="R14" s="36"/>
      <c r="S14" s="36"/>
      <c r="T14" s="7">
        <f t="shared" si="0"/>
        <v>437848.35</v>
      </c>
      <c r="U14" s="7">
        <f t="shared" si="3"/>
        <v>386308.35</v>
      </c>
      <c r="V14" s="1">
        <v>386270</v>
      </c>
      <c r="W14" s="40">
        <f t="shared" si="4"/>
        <v>38.349999999976717</v>
      </c>
    </row>
    <row r="15" spans="1:23" ht="12.75" customHeight="1" x14ac:dyDescent="0.2">
      <c r="A15" s="2" t="s">
        <v>14</v>
      </c>
      <c r="B15" s="2"/>
      <c r="C15" s="20"/>
      <c r="D15" s="20"/>
      <c r="E15" s="20"/>
      <c r="F15" s="3">
        <v>397.11</v>
      </c>
      <c r="G15" s="3">
        <v>145</v>
      </c>
      <c r="H15" s="3">
        <f t="shared" si="1"/>
        <v>57580.950000000004</v>
      </c>
      <c r="I15" s="4">
        <v>6082.2</v>
      </c>
      <c r="J15" s="4">
        <v>115</v>
      </c>
      <c r="K15" s="4">
        <f t="shared" si="2"/>
        <v>699453</v>
      </c>
      <c r="L15" s="6">
        <f>5000+11500+11500+11500</f>
        <v>39500</v>
      </c>
      <c r="M15" s="5">
        <f t="shared" si="19"/>
        <v>796533.95</v>
      </c>
      <c r="N15" s="5"/>
      <c r="O15" s="7">
        <v>87402</v>
      </c>
      <c r="P15" s="7">
        <f>10000+3700</f>
        <v>13700</v>
      </c>
      <c r="Q15" s="36"/>
      <c r="R15" s="36"/>
      <c r="S15" s="36"/>
      <c r="T15" s="7">
        <f t="shared" si="0"/>
        <v>695431.95</v>
      </c>
      <c r="U15" s="7">
        <f t="shared" si="3"/>
        <v>695431.95</v>
      </c>
      <c r="V15" s="1">
        <v>695414</v>
      </c>
      <c r="W15" s="40">
        <f t="shared" si="4"/>
        <v>17.949999999953434</v>
      </c>
    </row>
    <row r="16" spans="1:23" ht="12.75" customHeight="1" x14ac:dyDescent="0.2">
      <c r="A16" s="2" t="s">
        <v>12</v>
      </c>
      <c r="B16" s="2" t="s">
        <v>51</v>
      </c>
      <c r="C16" s="20"/>
      <c r="D16" s="20"/>
      <c r="E16" s="20"/>
      <c r="F16" s="3">
        <v>341.18</v>
      </c>
      <c r="G16" s="3">
        <v>145</v>
      </c>
      <c r="H16" s="3">
        <f t="shared" si="1"/>
        <v>49471.1</v>
      </c>
      <c r="I16" s="4">
        <v>3381.03</v>
      </c>
      <c r="J16" s="4">
        <v>115</v>
      </c>
      <c r="K16" s="4">
        <f t="shared" si="2"/>
        <v>388818.45</v>
      </c>
      <c r="L16" s="6">
        <v>250</v>
      </c>
      <c r="M16" s="5">
        <f t="shared" si="19"/>
        <v>438539.55</v>
      </c>
      <c r="N16" s="5"/>
      <c r="O16" s="7">
        <v>38575</v>
      </c>
      <c r="P16" s="7">
        <f>3400+3600</f>
        <v>7000</v>
      </c>
      <c r="Q16" s="36"/>
      <c r="R16" s="36"/>
      <c r="S16" s="36">
        <v>5000</v>
      </c>
      <c r="T16" s="7">
        <f t="shared" si="0"/>
        <v>392964.55</v>
      </c>
      <c r="U16" s="7">
        <f t="shared" si="3"/>
        <v>387964.55</v>
      </c>
      <c r="V16" s="1">
        <v>387880</v>
      </c>
      <c r="W16" s="40">
        <f t="shared" si="4"/>
        <v>84.549999999988358</v>
      </c>
    </row>
    <row r="17" spans="1:23" ht="12.75" customHeight="1" x14ac:dyDescent="0.2">
      <c r="A17" s="2" t="s">
        <v>13</v>
      </c>
      <c r="B17" s="2"/>
      <c r="C17" s="20"/>
      <c r="D17" s="20"/>
      <c r="E17" s="20"/>
      <c r="F17" s="3">
        <v>627.21</v>
      </c>
      <c r="G17" s="3">
        <v>145</v>
      </c>
      <c r="H17" s="3">
        <f t="shared" si="1"/>
        <v>90945.450000000012</v>
      </c>
      <c r="I17" s="4">
        <v>12140.66</v>
      </c>
      <c r="J17" s="4">
        <v>115</v>
      </c>
      <c r="K17" s="4">
        <f t="shared" si="2"/>
        <v>1396175.9</v>
      </c>
      <c r="L17" s="6"/>
      <c r="M17" s="5">
        <f t="shared" si="19"/>
        <v>1487121.3499999999</v>
      </c>
      <c r="N17" s="5"/>
      <c r="O17" s="7">
        <v>101586</v>
      </c>
      <c r="P17" s="7">
        <f>3789+650+4800</f>
        <v>9239</v>
      </c>
      <c r="Q17" s="36"/>
      <c r="R17" s="36"/>
      <c r="S17" s="36"/>
      <c r="T17" s="7">
        <f t="shared" si="0"/>
        <v>1376296.3499999999</v>
      </c>
      <c r="U17" s="7">
        <f t="shared" si="3"/>
        <v>1376296.3499999999</v>
      </c>
      <c r="V17" s="1">
        <v>1376250</v>
      </c>
      <c r="W17" s="40">
        <f t="shared" si="4"/>
        <v>46.349999999860302</v>
      </c>
    </row>
    <row r="18" spans="1:23" ht="12.75" customHeight="1" x14ac:dyDescent="0.2">
      <c r="A18" s="2" t="s">
        <v>14</v>
      </c>
      <c r="B18" s="2"/>
      <c r="C18" s="20"/>
      <c r="D18" s="20"/>
      <c r="E18" s="20"/>
      <c r="F18" s="3"/>
      <c r="G18" s="3">
        <v>145</v>
      </c>
      <c r="H18" s="3">
        <f t="shared" si="1"/>
        <v>0</v>
      </c>
      <c r="I18" s="4"/>
      <c r="J18" s="4">
        <v>115</v>
      </c>
      <c r="K18" s="4">
        <f t="shared" si="2"/>
        <v>0</v>
      </c>
      <c r="L18" s="6"/>
      <c r="M18" s="5">
        <f t="shared" si="19"/>
        <v>0</v>
      </c>
      <c r="N18" s="5"/>
      <c r="O18" s="7"/>
      <c r="P18" s="7"/>
      <c r="Q18" s="36"/>
      <c r="R18" s="36"/>
      <c r="S18" s="36"/>
      <c r="T18" s="7">
        <f t="shared" si="0"/>
        <v>0</v>
      </c>
      <c r="U18" s="7">
        <f t="shared" si="3"/>
        <v>0</v>
      </c>
      <c r="V18" s="1"/>
      <c r="W18" s="40">
        <f t="shared" si="4"/>
        <v>0</v>
      </c>
    </row>
    <row r="19" spans="1:23" ht="12.75" customHeight="1" x14ac:dyDescent="0.2">
      <c r="A19" s="2" t="s">
        <v>12</v>
      </c>
      <c r="B19" s="2" t="s">
        <v>52</v>
      </c>
      <c r="C19" s="20"/>
      <c r="D19" s="20"/>
      <c r="E19" s="20"/>
      <c r="F19" s="3">
        <v>907.25</v>
      </c>
      <c r="G19" s="3">
        <v>145</v>
      </c>
      <c r="H19" s="3">
        <f t="shared" si="1"/>
        <v>131551.25</v>
      </c>
      <c r="I19" s="4">
        <v>11645.37</v>
      </c>
      <c r="J19" s="4">
        <v>115</v>
      </c>
      <c r="K19" s="4">
        <f t="shared" si="2"/>
        <v>1339217.55</v>
      </c>
      <c r="L19" s="6"/>
      <c r="M19" s="5">
        <f t="shared" si="19"/>
        <v>1470768.8</v>
      </c>
      <c r="N19" s="5"/>
      <c r="O19" s="7">
        <f>139765+2000</f>
        <v>141765</v>
      </c>
      <c r="P19" s="7">
        <v>39415</v>
      </c>
      <c r="Q19" s="36"/>
      <c r="R19" s="36"/>
      <c r="S19" s="36"/>
      <c r="T19" s="7">
        <f t="shared" si="0"/>
        <v>1289588.8</v>
      </c>
      <c r="U19" s="7">
        <f t="shared" si="3"/>
        <v>1289588.8</v>
      </c>
      <c r="V19" s="1">
        <v>1289610</v>
      </c>
      <c r="W19" s="40">
        <f t="shared" si="4"/>
        <v>-21.199999999953434</v>
      </c>
    </row>
    <row r="20" spans="1:23" ht="12.75" customHeight="1" x14ac:dyDescent="0.2">
      <c r="A20" s="2" t="s">
        <v>13</v>
      </c>
      <c r="B20" s="2"/>
      <c r="C20" s="20"/>
      <c r="D20" s="20"/>
      <c r="E20" s="20"/>
      <c r="F20" s="3">
        <v>657.97</v>
      </c>
      <c r="G20" s="3">
        <v>145</v>
      </c>
      <c r="H20" s="3">
        <f t="shared" si="1"/>
        <v>95405.650000000009</v>
      </c>
      <c r="I20" s="4">
        <v>7036.6</v>
      </c>
      <c r="J20" s="4">
        <v>115</v>
      </c>
      <c r="K20" s="4">
        <f t="shared" si="2"/>
        <v>809209</v>
      </c>
      <c r="L20" s="6"/>
      <c r="M20" s="5">
        <f t="shared" si="19"/>
        <v>904614.65</v>
      </c>
      <c r="N20" s="5"/>
      <c r="O20" s="7">
        <v>20815</v>
      </c>
      <c r="P20" s="7">
        <f>7100+5000</f>
        <v>12100</v>
      </c>
      <c r="Q20" s="36"/>
      <c r="R20" s="36"/>
      <c r="S20" s="36"/>
      <c r="T20" s="7">
        <f t="shared" si="0"/>
        <v>871699.65</v>
      </c>
      <c r="U20" s="7">
        <f t="shared" si="3"/>
        <v>871699.65</v>
      </c>
      <c r="V20" s="1">
        <v>871680</v>
      </c>
      <c r="W20" s="40">
        <f t="shared" si="4"/>
        <v>19.650000000023283</v>
      </c>
    </row>
    <row r="21" spans="1:23" ht="12.75" customHeight="1" x14ac:dyDescent="0.2">
      <c r="A21" s="2" t="s">
        <v>14</v>
      </c>
      <c r="B21" s="2"/>
      <c r="C21" s="20"/>
      <c r="D21" s="20"/>
      <c r="E21" s="20"/>
      <c r="F21" s="3">
        <v>188.65</v>
      </c>
      <c r="G21" s="3">
        <v>145</v>
      </c>
      <c r="H21" s="3">
        <f t="shared" si="1"/>
        <v>27354.25</v>
      </c>
      <c r="I21" s="4">
        <v>9056.2800000000007</v>
      </c>
      <c r="J21" s="4">
        <v>115</v>
      </c>
      <c r="K21" s="4">
        <f t="shared" si="2"/>
        <v>1041472.2000000001</v>
      </c>
      <c r="L21" s="6"/>
      <c r="M21" s="5">
        <f t="shared" si="19"/>
        <v>1068826.4500000002</v>
      </c>
      <c r="N21" s="5"/>
      <c r="O21" s="7">
        <f>127876+3132+330</f>
        <v>131338</v>
      </c>
      <c r="P21" s="7">
        <f>2479+900+5000+500</f>
        <v>8879</v>
      </c>
      <c r="Q21" s="36"/>
      <c r="R21" s="36"/>
      <c r="S21" s="36"/>
      <c r="T21" s="7">
        <f t="shared" si="0"/>
        <v>928609.45000000019</v>
      </c>
      <c r="U21" s="7">
        <f t="shared" si="3"/>
        <v>928609.45000000019</v>
      </c>
      <c r="V21" s="1">
        <v>928500</v>
      </c>
      <c r="W21" s="40">
        <f t="shared" si="4"/>
        <v>109.45000000018626</v>
      </c>
    </row>
    <row r="22" spans="1:23" ht="12.75" customHeight="1" x14ac:dyDescent="0.2">
      <c r="A22" s="2" t="s">
        <v>12</v>
      </c>
      <c r="B22" s="2" t="s">
        <v>53</v>
      </c>
      <c r="C22" s="20"/>
      <c r="D22" s="20"/>
      <c r="E22" s="20"/>
      <c r="F22" s="3">
        <v>738.25</v>
      </c>
      <c r="G22" s="3">
        <v>145</v>
      </c>
      <c r="H22" s="3">
        <f t="shared" si="1"/>
        <v>107046.25</v>
      </c>
      <c r="I22" s="4">
        <v>6060.92</v>
      </c>
      <c r="J22" s="4">
        <v>115</v>
      </c>
      <c r="K22" s="4">
        <f t="shared" si="2"/>
        <v>697005.8</v>
      </c>
      <c r="L22" s="6">
        <v>69000</v>
      </c>
      <c r="M22" s="5">
        <f t="shared" si="19"/>
        <v>873052.05</v>
      </c>
      <c r="N22" s="5"/>
      <c r="O22" s="7">
        <f>7015+4930+1150+1150+575+3600+2300+2300+4350+7975+1150+1150+2000+1725+2400+3450+3450+2300+1150+2300+12400+11500+11500+4870</f>
        <v>96690</v>
      </c>
      <c r="P22" s="7">
        <f>6000+8155+3600+200</f>
        <v>17955</v>
      </c>
      <c r="Q22" s="36">
        <v>44200</v>
      </c>
      <c r="R22" s="36"/>
      <c r="S22" s="36">
        <v>69000</v>
      </c>
      <c r="T22" s="7">
        <f>M22-O22-P22</f>
        <v>758407.05</v>
      </c>
      <c r="U22" s="7">
        <f>M22-O22-P22-Q22-S22-R22</f>
        <v>645207.05000000005</v>
      </c>
      <c r="V22" s="1">
        <v>645210</v>
      </c>
      <c r="W22" s="40">
        <f t="shared" si="4"/>
        <v>-2.9499999999534339</v>
      </c>
    </row>
    <row r="23" spans="1:23" ht="12.75" customHeight="1" x14ac:dyDescent="0.2">
      <c r="A23" s="2" t="s">
        <v>13</v>
      </c>
      <c r="B23" s="2"/>
      <c r="C23" s="20"/>
      <c r="D23" s="20"/>
      <c r="E23" s="20"/>
      <c r="F23" s="3">
        <v>821.74</v>
      </c>
      <c r="G23" s="3">
        <v>145</v>
      </c>
      <c r="H23" s="3">
        <f t="shared" si="1"/>
        <v>119152.3</v>
      </c>
      <c r="I23" s="4">
        <v>7635.23</v>
      </c>
      <c r="J23" s="4">
        <v>115</v>
      </c>
      <c r="K23" s="4">
        <f t="shared" si="2"/>
        <v>878051.45</v>
      </c>
      <c r="L23" s="6"/>
      <c r="M23" s="5">
        <f t="shared" si="19"/>
        <v>997203.75</v>
      </c>
      <c r="N23" s="5"/>
      <c r="O23" s="7">
        <v>36155</v>
      </c>
      <c r="P23" s="7">
        <f>3000+4000+773+4800+3800+4000</f>
        <v>20373</v>
      </c>
      <c r="Q23" s="36"/>
      <c r="R23" s="36">
        <v>22000</v>
      </c>
      <c r="S23" s="36"/>
      <c r="T23" s="7">
        <f t="shared" si="0"/>
        <v>940675.75</v>
      </c>
      <c r="U23" s="7">
        <f t="shared" si="3"/>
        <v>918675.75</v>
      </c>
      <c r="V23" s="1">
        <v>918650</v>
      </c>
      <c r="W23" s="40">
        <f t="shared" si="4"/>
        <v>25.75</v>
      </c>
    </row>
    <row r="24" spans="1:23" ht="12.75" customHeight="1" x14ac:dyDescent="0.2">
      <c r="A24" s="2" t="s">
        <v>14</v>
      </c>
      <c r="B24" s="2"/>
      <c r="C24" s="20"/>
      <c r="D24" s="20"/>
      <c r="E24" s="20"/>
      <c r="F24" s="3">
        <v>275.35000000000002</v>
      </c>
      <c r="G24" s="3">
        <v>145</v>
      </c>
      <c r="H24" s="3">
        <f t="shared" si="1"/>
        <v>39925.75</v>
      </c>
      <c r="I24" s="4">
        <v>6828.68</v>
      </c>
      <c r="J24" s="4">
        <v>115</v>
      </c>
      <c r="K24" s="4">
        <f t="shared" si="2"/>
        <v>785298.20000000007</v>
      </c>
      <c r="L24" s="6"/>
      <c r="M24" s="5">
        <f t="shared" si="19"/>
        <v>825223.95000000007</v>
      </c>
      <c r="N24" s="5"/>
      <c r="O24" s="9">
        <v>51132</v>
      </c>
      <c r="P24" s="9">
        <v>1500</v>
      </c>
      <c r="Q24" s="36"/>
      <c r="R24" s="36"/>
      <c r="S24" s="36"/>
      <c r="T24" s="7">
        <f t="shared" si="0"/>
        <v>772591.95000000007</v>
      </c>
      <c r="U24" s="7">
        <f t="shared" si="3"/>
        <v>772591.95000000007</v>
      </c>
      <c r="V24" s="1">
        <v>772560</v>
      </c>
      <c r="W24" s="40">
        <f t="shared" si="4"/>
        <v>31.950000000069849</v>
      </c>
    </row>
    <row r="25" spans="1:23" ht="12.75" customHeight="1" x14ac:dyDescent="0.2">
      <c r="A25" s="2" t="s">
        <v>12</v>
      </c>
      <c r="B25" s="2" t="s">
        <v>54</v>
      </c>
      <c r="C25" s="20"/>
      <c r="D25" s="20"/>
      <c r="E25" s="20"/>
      <c r="F25" s="3">
        <v>811.55</v>
      </c>
      <c r="G25" s="3">
        <v>145</v>
      </c>
      <c r="H25" s="3">
        <f t="shared" ref="H25:H33" si="20">G25*F25</f>
        <v>117674.75</v>
      </c>
      <c r="I25" s="4">
        <v>8198.75</v>
      </c>
      <c r="J25" s="4">
        <v>115</v>
      </c>
      <c r="K25" s="4">
        <f t="shared" ref="K25:K32" si="21">J25*I25</f>
        <v>942856.25</v>
      </c>
      <c r="L25" s="6"/>
      <c r="M25" s="5">
        <f t="shared" ref="M25:M32" si="22">K25+H25+E26+L25</f>
        <v>1060531</v>
      </c>
      <c r="N25" s="5"/>
      <c r="O25" s="9">
        <v>105391</v>
      </c>
      <c r="P25" s="9"/>
      <c r="Q25" s="36">
        <v>10000</v>
      </c>
      <c r="R25" s="36"/>
      <c r="S25" s="36">
        <v>70000</v>
      </c>
      <c r="T25" s="7">
        <f t="shared" ref="T25:T32" si="23">M25-O25-P25</f>
        <v>955140</v>
      </c>
      <c r="U25" s="7">
        <f t="shared" ref="U25:U32" si="24">M25-O25-P25-Q25-S25-R25</f>
        <v>875140</v>
      </c>
      <c r="V25" s="1">
        <v>875090</v>
      </c>
      <c r="W25" s="40">
        <f t="shared" si="4"/>
        <v>50</v>
      </c>
    </row>
    <row r="26" spans="1:23" ht="12.75" customHeight="1" x14ac:dyDescent="0.2">
      <c r="A26" s="2" t="s">
        <v>13</v>
      </c>
      <c r="B26" s="2"/>
      <c r="C26" s="20"/>
      <c r="D26" s="20"/>
      <c r="E26" s="20"/>
      <c r="F26" s="3">
        <v>764.44</v>
      </c>
      <c r="G26" s="3">
        <v>145</v>
      </c>
      <c r="H26" s="3">
        <f t="shared" si="20"/>
        <v>110843.8</v>
      </c>
      <c r="I26" s="4">
        <v>6559.81</v>
      </c>
      <c r="J26" s="4">
        <v>115</v>
      </c>
      <c r="K26" s="4">
        <f t="shared" si="21"/>
        <v>754378.15</v>
      </c>
      <c r="L26" s="6">
        <v>1000</v>
      </c>
      <c r="M26" s="5">
        <f t="shared" si="22"/>
        <v>866221.95000000007</v>
      </c>
      <c r="N26" s="5"/>
      <c r="O26" s="7">
        <v>281086</v>
      </c>
      <c r="P26" s="7">
        <f>6000+1000+500+1400+1210+1420</f>
        <v>11530</v>
      </c>
      <c r="Q26" s="36"/>
      <c r="R26" s="36"/>
      <c r="S26" s="36"/>
      <c r="T26" s="7">
        <f t="shared" si="23"/>
        <v>573605.95000000007</v>
      </c>
      <c r="U26" s="7">
        <f t="shared" si="24"/>
        <v>573605.95000000007</v>
      </c>
      <c r="V26" s="1">
        <v>573570</v>
      </c>
      <c r="W26" s="40">
        <f t="shared" si="4"/>
        <v>35.950000000069849</v>
      </c>
    </row>
    <row r="27" spans="1:23" ht="12.75" customHeight="1" x14ac:dyDescent="0.2">
      <c r="A27" s="2" t="s">
        <v>14</v>
      </c>
      <c r="B27" s="2"/>
      <c r="C27" s="20"/>
      <c r="D27" s="20"/>
      <c r="E27" s="20"/>
      <c r="F27" s="3">
        <v>358.77</v>
      </c>
      <c r="G27" s="3">
        <v>145</v>
      </c>
      <c r="H27" s="3">
        <f t="shared" si="20"/>
        <v>52021.649999999994</v>
      </c>
      <c r="I27" s="4">
        <v>7485.02</v>
      </c>
      <c r="J27" s="4">
        <v>115</v>
      </c>
      <c r="K27" s="4">
        <f t="shared" si="21"/>
        <v>860777.3</v>
      </c>
      <c r="L27" s="6">
        <f>11500*4</f>
        <v>46000</v>
      </c>
      <c r="M27" s="5">
        <f t="shared" si="22"/>
        <v>958798.95000000007</v>
      </c>
      <c r="N27" s="5"/>
      <c r="O27" s="7">
        <f>104685+2227</f>
        <v>106912</v>
      </c>
      <c r="P27" s="7">
        <f>4000+7148+1480+3373</f>
        <v>16001</v>
      </c>
      <c r="Q27" s="36"/>
      <c r="R27" s="36"/>
      <c r="S27" s="36"/>
      <c r="T27" s="7">
        <f t="shared" si="23"/>
        <v>835885.95000000007</v>
      </c>
      <c r="U27" s="7">
        <f t="shared" si="24"/>
        <v>835885.95000000007</v>
      </c>
      <c r="V27" s="1">
        <v>835885</v>
      </c>
      <c r="W27" s="40">
        <f t="shared" si="4"/>
        <v>0.95000000006984919</v>
      </c>
    </row>
    <row r="28" spans="1:23" ht="12.75" customHeight="1" x14ac:dyDescent="0.2">
      <c r="A28" s="2" t="s">
        <v>12</v>
      </c>
      <c r="B28" s="2" t="s">
        <v>55</v>
      </c>
      <c r="C28" s="20"/>
      <c r="D28" s="20"/>
      <c r="E28" s="20"/>
      <c r="F28" s="3">
        <v>819.27</v>
      </c>
      <c r="G28" s="3">
        <v>145</v>
      </c>
      <c r="H28" s="3">
        <f t="shared" si="20"/>
        <v>118794.15</v>
      </c>
      <c r="I28" s="4">
        <v>6663.36</v>
      </c>
      <c r="J28" s="4">
        <v>115</v>
      </c>
      <c r="K28" s="4">
        <f t="shared" si="21"/>
        <v>766286.39999999991</v>
      </c>
      <c r="L28" s="6"/>
      <c r="M28" s="5">
        <f t="shared" si="22"/>
        <v>885080.54999999993</v>
      </c>
      <c r="N28" s="5"/>
      <c r="O28" s="7">
        <v>97803</v>
      </c>
      <c r="P28" s="7">
        <f>14430+1000+6900+2900+5500</f>
        <v>30730</v>
      </c>
      <c r="Q28" s="36"/>
      <c r="R28" s="36"/>
      <c r="S28" s="36"/>
      <c r="T28" s="7">
        <f t="shared" si="23"/>
        <v>756547.54999999993</v>
      </c>
      <c r="U28" s="7">
        <f t="shared" si="24"/>
        <v>756547.54999999993</v>
      </c>
      <c r="V28" s="1">
        <v>756470</v>
      </c>
      <c r="W28" s="40">
        <f t="shared" si="4"/>
        <v>77.549999999930151</v>
      </c>
    </row>
    <row r="29" spans="1:23" ht="12.75" customHeight="1" x14ac:dyDescent="0.2">
      <c r="A29" s="2" t="s">
        <v>13</v>
      </c>
      <c r="B29" s="2"/>
      <c r="C29" s="20"/>
      <c r="D29" s="20"/>
      <c r="E29" s="20"/>
      <c r="F29" s="3">
        <v>871.55</v>
      </c>
      <c r="G29" s="3">
        <v>145</v>
      </c>
      <c r="H29" s="3">
        <f t="shared" si="20"/>
        <v>126374.75</v>
      </c>
      <c r="I29" s="4">
        <v>6427.93</v>
      </c>
      <c r="J29" s="4">
        <v>115</v>
      </c>
      <c r="K29" s="4">
        <f t="shared" si="21"/>
        <v>739211.95000000007</v>
      </c>
      <c r="L29" s="6"/>
      <c r="M29" s="5">
        <f t="shared" si="22"/>
        <v>865586.70000000007</v>
      </c>
      <c r="N29" s="5"/>
      <c r="O29" s="7">
        <f>1725+805+1450+13570+3680+115000+4255+11500+2150</f>
        <v>154135</v>
      </c>
      <c r="P29" s="7">
        <f>1010+700+4150+800+500+5830+9200+500+3010+4319</f>
        <v>30019</v>
      </c>
      <c r="Q29" s="36"/>
      <c r="R29" s="36"/>
      <c r="S29" s="36"/>
      <c r="T29" s="7">
        <f t="shared" si="23"/>
        <v>681432.70000000007</v>
      </c>
      <c r="U29" s="7">
        <f t="shared" si="24"/>
        <v>681432.70000000007</v>
      </c>
      <c r="V29" s="1">
        <v>681430</v>
      </c>
      <c r="W29" s="40">
        <f t="shared" si="4"/>
        <v>2.7000000000698492</v>
      </c>
    </row>
    <row r="30" spans="1:23" ht="12.75" customHeight="1" x14ac:dyDescent="0.2">
      <c r="A30" s="2" t="s">
        <v>14</v>
      </c>
      <c r="B30" s="2"/>
      <c r="C30" s="20"/>
      <c r="D30" s="20"/>
      <c r="E30" s="20"/>
      <c r="F30" s="3">
        <v>287.73</v>
      </c>
      <c r="G30" s="3">
        <v>145</v>
      </c>
      <c r="H30" s="3">
        <f t="shared" si="20"/>
        <v>41720.850000000006</v>
      </c>
      <c r="I30" s="4">
        <v>6939.45</v>
      </c>
      <c r="J30" s="4">
        <v>115</v>
      </c>
      <c r="K30" s="4">
        <f t="shared" si="21"/>
        <v>798036.75</v>
      </c>
      <c r="L30" s="6"/>
      <c r="M30" s="5">
        <f t="shared" si="22"/>
        <v>839757.6</v>
      </c>
      <c r="N30" s="5"/>
      <c r="O30" s="7">
        <f>8050+7015+13570+4600+5750+11500+11500+1659+13570+4830+12982+3450+1150+11500+800</f>
        <v>111926</v>
      </c>
      <c r="P30" s="7">
        <f>40548+17750</f>
        <v>58298</v>
      </c>
      <c r="Q30" s="36"/>
      <c r="R30" s="36"/>
      <c r="S30" s="36">
        <v>6900</v>
      </c>
      <c r="T30" s="7">
        <f t="shared" si="23"/>
        <v>669533.6</v>
      </c>
      <c r="U30" s="7">
        <f t="shared" si="24"/>
        <v>662633.6</v>
      </c>
      <c r="V30" s="1">
        <v>662540</v>
      </c>
      <c r="W30" s="40">
        <f t="shared" si="4"/>
        <v>93.599999999976717</v>
      </c>
    </row>
    <row r="31" spans="1:23" ht="12.75" customHeight="1" x14ac:dyDescent="0.2">
      <c r="A31" s="2" t="s">
        <v>12</v>
      </c>
      <c r="B31" s="2" t="s">
        <v>56</v>
      </c>
      <c r="C31" s="20"/>
      <c r="D31" s="20"/>
      <c r="E31" s="20"/>
      <c r="F31" s="3">
        <v>236.84</v>
      </c>
      <c r="G31" s="3">
        <v>145</v>
      </c>
      <c r="H31" s="3">
        <f t="shared" si="20"/>
        <v>34341.800000000003</v>
      </c>
      <c r="I31" s="4">
        <v>5432.49</v>
      </c>
      <c r="J31" s="4">
        <v>115</v>
      </c>
      <c r="K31" s="4">
        <f t="shared" si="21"/>
        <v>624736.35</v>
      </c>
      <c r="L31" s="6">
        <f>1000+1300+11500</f>
        <v>13800</v>
      </c>
      <c r="M31" s="5">
        <f t="shared" si="22"/>
        <v>672878.15</v>
      </c>
      <c r="N31" s="5"/>
      <c r="O31" s="7">
        <f>2300+575+2300+2300+3450+1150+2300+2300+1800+3000+5750+6095+2300+10350+9200+3795+2300+2300+1500</f>
        <v>65065</v>
      </c>
      <c r="P31" s="7">
        <f>4200+39650+3815</f>
        <v>47665</v>
      </c>
      <c r="Q31" s="36"/>
      <c r="R31" s="36"/>
      <c r="S31" s="36"/>
      <c r="T31" s="7">
        <f t="shared" si="23"/>
        <v>560148.15</v>
      </c>
      <c r="U31" s="7">
        <f t="shared" si="24"/>
        <v>560148.15</v>
      </c>
      <c r="V31" s="1">
        <v>560145</v>
      </c>
      <c r="W31" s="40">
        <f t="shared" si="4"/>
        <v>3.1500000000232831</v>
      </c>
    </row>
    <row r="32" spans="1:23" ht="12.75" customHeight="1" x14ac:dyDescent="0.2">
      <c r="A32" s="2" t="s">
        <v>13</v>
      </c>
      <c r="B32" s="2"/>
      <c r="C32" s="20"/>
      <c r="D32" s="20"/>
      <c r="E32" s="20"/>
      <c r="F32" s="3">
        <f>218.4+6.55</f>
        <v>224.95000000000002</v>
      </c>
      <c r="G32" s="3">
        <v>145</v>
      </c>
      <c r="H32" s="3">
        <f t="shared" si="20"/>
        <v>32617.750000000004</v>
      </c>
      <c r="I32" s="4">
        <v>6832</v>
      </c>
      <c r="J32" s="4">
        <v>115</v>
      </c>
      <c r="K32" s="4">
        <f t="shared" si="21"/>
        <v>785680</v>
      </c>
      <c r="L32" s="6"/>
      <c r="M32" s="5">
        <f t="shared" si="22"/>
        <v>818297.75</v>
      </c>
      <c r="N32" s="5"/>
      <c r="O32" s="7">
        <f>5060+575+2300+8050+1500+1955+13570+13570</f>
        <v>46580</v>
      </c>
      <c r="P32" s="7">
        <v>3750</v>
      </c>
      <c r="Q32" s="36"/>
      <c r="R32" s="36"/>
      <c r="S32" s="36"/>
      <c r="T32" s="7">
        <f t="shared" si="23"/>
        <v>767967.75</v>
      </c>
      <c r="U32" s="7">
        <f t="shared" si="24"/>
        <v>767967.75</v>
      </c>
      <c r="V32" s="1">
        <v>767900</v>
      </c>
      <c r="W32" s="40">
        <f t="shared" si="4"/>
        <v>67.75</v>
      </c>
    </row>
    <row r="33" spans="1:23" ht="12.75" customHeight="1" x14ac:dyDescent="0.2">
      <c r="A33" s="2" t="s">
        <v>14</v>
      </c>
      <c r="B33" s="2"/>
      <c r="C33" s="20"/>
      <c r="D33" s="20"/>
      <c r="E33" s="20"/>
      <c r="F33" s="3">
        <v>309.76</v>
      </c>
      <c r="G33" s="3">
        <v>145</v>
      </c>
      <c r="H33" s="3">
        <f t="shared" si="20"/>
        <v>44915.199999999997</v>
      </c>
      <c r="I33" s="4">
        <v>7838.67</v>
      </c>
      <c r="J33" s="4">
        <v>115</v>
      </c>
      <c r="K33" s="4">
        <f t="shared" ref="K33" si="25">J33*I33</f>
        <v>901447.05</v>
      </c>
      <c r="L33" s="6"/>
      <c r="M33" s="5">
        <f t="shared" ref="M33" si="26">K33+H33+E34+L33</f>
        <v>946362.25</v>
      </c>
      <c r="N33" s="5"/>
      <c r="O33" s="7">
        <f>2875+8615+5635+7360+6325+5750+6670+2645+575+11500+150+900</f>
        <v>59000</v>
      </c>
      <c r="P33" s="7">
        <f>1000+872</f>
        <v>1872</v>
      </c>
      <c r="Q33" s="36"/>
      <c r="R33" s="36"/>
      <c r="S33" s="36"/>
      <c r="T33" s="7">
        <f t="shared" ref="T33" si="27">M33-O33-P33</f>
        <v>885490.25</v>
      </c>
      <c r="U33" s="7">
        <f t="shared" ref="U33" si="28">M33-O33-P33-Q33-S33-R33</f>
        <v>885490.25</v>
      </c>
      <c r="V33" s="1">
        <v>885460</v>
      </c>
      <c r="W33" s="40">
        <f t="shared" si="4"/>
        <v>30.25</v>
      </c>
    </row>
    <row r="34" spans="1:23" ht="12.75" customHeight="1" x14ac:dyDescent="0.2">
      <c r="A34" s="2" t="s">
        <v>12</v>
      </c>
      <c r="B34" s="2" t="s">
        <v>57</v>
      </c>
      <c r="C34" s="20"/>
      <c r="D34" s="20"/>
      <c r="E34" s="20"/>
      <c r="F34" s="3">
        <f>2447.9</f>
        <v>2447.9</v>
      </c>
      <c r="G34" s="3">
        <v>145</v>
      </c>
      <c r="H34" s="3">
        <f t="shared" ref="H34:H55" si="29">G34*F34</f>
        <v>354945.5</v>
      </c>
      <c r="I34" s="4">
        <v>7561.6</v>
      </c>
      <c r="J34" s="4">
        <v>115</v>
      </c>
      <c r="K34" s="4">
        <f t="shared" ref="K34:K55" si="30">J34*I34</f>
        <v>869584</v>
      </c>
      <c r="L34" s="6">
        <f>11500+100000</f>
        <v>111500</v>
      </c>
      <c r="M34" s="5">
        <f t="shared" ref="M34:M55" si="31">K34+H34+E34+L34</f>
        <v>1336029.5</v>
      </c>
      <c r="N34" s="5"/>
      <c r="O34" s="7">
        <f>199624+3800</f>
        <v>203424</v>
      </c>
      <c r="P34" s="7">
        <f>1270+3450+5000+20000+15000</f>
        <v>44720</v>
      </c>
      <c r="Q34" s="36">
        <v>80445</v>
      </c>
      <c r="R34" s="36"/>
      <c r="S34" s="36">
        <v>469500</v>
      </c>
      <c r="T34" s="7">
        <f t="shared" ref="T34:T55" si="32">M34-O34-P34</f>
        <v>1087885.5</v>
      </c>
      <c r="U34" s="7">
        <f t="shared" ref="U34:U55" si="33">M34-O34-P34-Q34-S34-R34</f>
        <v>537940.5</v>
      </c>
      <c r="V34" s="1">
        <v>537940</v>
      </c>
      <c r="W34" s="40">
        <f t="shared" si="4"/>
        <v>0.5</v>
      </c>
    </row>
    <row r="35" spans="1:23" ht="12.75" customHeight="1" x14ac:dyDescent="0.2">
      <c r="A35" s="2" t="s">
        <v>13</v>
      </c>
      <c r="B35" s="2"/>
      <c r="C35" s="20"/>
      <c r="D35" s="20"/>
      <c r="E35" s="20"/>
      <c r="F35" s="3">
        <v>969.52</v>
      </c>
      <c r="G35" s="3">
        <v>145</v>
      </c>
      <c r="H35" s="3">
        <f t="shared" si="29"/>
        <v>140580.4</v>
      </c>
      <c r="I35" s="4">
        <v>5649</v>
      </c>
      <c r="J35" s="4">
        <v>115</v>
      </c>
      <c r="K35" s="4">
        <f t="shared" si="30"/>
        <v>649635</v>
      </c>
      <c r="L35" s="6">
        <v>5000</v>
      </c>
      <c r="M35" s="5">
        <f t="shared" si="31"/>
        <v>795215.4</v>
      </c>
      <c r="N35" s="5"/>
      <c r="O35" s="7">
        <v>87635</v>
      </c>
      <c r="P35" s="7">
        <f>12000+2460+1500+3000+20000+1000+500+720</f>
        <v>41180</v>
      </c>
      <c r="Q35" s="51">
        <v>135000</v>
      </c>
      <c r="R35" s="36"/>
      <c r="S35" s="7"/>
      <c r="T35" s="7">
        <f t="shared" si="32"/>
        <v>666400.4</v>
      </c>
      <c r="U35" s="7">
        <f t="shared" si="33"/>
        <v>531400.4</v>
      </c>
      <c r="V35" s="1">
        <v>531370</v>
      </c>
      <c r="W35" s="40">
        <f t="shared" si="4"/>
        <v>30.400000000023283</v>
      </c>
    </row>
    <row r="36" spans="1:23" ht="12.75" customHeight="1" x14ac:dyDescent="0.2">
      <c r="A36" s="2" t="s">
        <v>14</v>
      </c>
      <c r="B36" s="2"/>
      <c r="C36" s="20"/>
      <c r="D36" s="20"/>
      <c r="E36" s="20"/>
      <c r="F36" s="3">
        <v>380.79</v>
      </c>
      <c r="G36" s="3">
        <v>145</v>
      </c>
      <c r="H36" s="3">
        <f t="shared" si="29"/>
        <v>55214.55</v>
      </c>
      <c r="I36" s="4">
        <v>8131.28</v>
      </c>
      <c r="J36" s="4">
        <v>115</v>
      </c>
      <c r="K36" s="4">
        <f t="shared" si="30"/>
        <v>935097.2</v>
      </c>
      <c r="L36" s="6"/>
      <c r="M36" s="5">
        <f t="shared" si="31"/>
        <v>990311.75</v>
      </c>
      <c r="N36" s="5"/>
      <c r="O36" s="7">
        <v>114655</v>
      </c>
      <c r="P36" s="7">
        <v>8000</v>
      </c>
      <c r="Q36" s="36"/>
      <c r="R36" s="36"/>
      <c r="S36" s="7"/>
      <c r="T36" s="7">
        <f t="shared" si="32"/>
        <v>867656.75</v>
      </c>
      <c r="U36" s="7">
        <f t="shared" si="33"/>
        <v>867656.75</v>
      </c>
      <c r="V36" s="1">
        <v>867610</v>
      </c>
      <c r="W36" s="40">
        <f t="shared" si="4"/>
        <v>46.75</v>
      </c>
    </row>
    <row r="37" spans="1:23" ht="12.75" customHeight="1" x14ac:dyDescent="0.2">
      <c r="A37" s="2" t="s">
        <v>12</v>
      </c>
      <c r="B37" s="2" t="s">
        <v>58</v>
      </c>
      <c r="C37" s="20"/>
      <c r="D37" s="20"/>
      <c r="E37" s="20"/>
      <c r="F37" s="3">
        <v>571.55999999999995</v>
      </c>
      <c r="G37" s="3">
        <v>145</v>
      </c>
      <c r="H37" s="3">
        <f t="shared" si="29"/>
        <v>82876.2</v>
      </c>
      <c r="I37" s="4">
        <v>3893.9</v>
      </c>
      <c r="J37" s="4">
        <v>115</v>
      </c>
      <c r="K37" s="4">
        <f t="shared" si="30"/>
        <v>447798.5</v>
      </c>
      <c r="L37" s="6"/>
      <c r="M37" s="5">
        <f t="shared" si="31"/>
        <v>530674.69999999995</v>
      </c>
      <c r="N37" s="5"/>
      <c r="O37" s="7">
        <v>104075</v>
      </c>
      <c r="P37" s="7">
        <v>7300</v>
      </c>
      <c r="Q37" s="36"/>
      <c r="R37" s="36"/>
      <c r="S37" s="7"/>
      <c r="T37" s="7">
        <f t="shared" si="32"/>
        <v>419299.69999999995</v>
      </c>
      <c r="U37" s="7">
        <f t="shared" si="33"/>
        <v>419299.69999999995</v>
      </c>
      <c r="V37" s="1">
        <v>419260</v>
      </c>
      <c r="W37" s="40">
        <f t="shared" si="4"/>
        <v>39.699999999953434</v>
      </c>
    </row>
    <row r="38" spans="1:23" ht="12.75" customHeight="1" x14ac:dyDescent="0.2">
      <c r="A38" s="2" t="s">
        <v>13</v>
      </c>
      <c r="B38" s="2"/>
      <c r="C38" s="20"/>
      <c r="D38" s="20"/>
      <c r="E38" s="20"/>
      <c r="F38" s="3">
        <v>715.19</v>
      </c>
      <c r="G38" s="3">
        <v>145</v>
      </c>
      <c r="H38" s="3">
        <f t="shared" si="29"/>
        <v>103702.55</v>
      </c>
      <c r="I38" s="4">
        <v>9878.07</v>
      </c>
      <c r="J38" s="4">
        <v>115</v>
      </c>
      <c r="K38" s="4">
        <f t="shared" si="30"/>
        <v>1135978.05</v>
      </c>
      <c r="L38" s="6"/>
      <c r="M38" s="5">
        <f t="shared" si="31"/>
        <v>1239680.6000000001</v>
      </c>
      <c r="N38" s="5"/>
      <c r="O38" s="7">
        <v>38878</v>
      </c>
      <c r="P38" s="7">
        <f>1000+1220+2000+23000+21249+7100</f>
        <v>55569</v>
      </c>
      <c r="Q38" s="36"/>
      <c r="R38" s="36"/>
      <c r="S38" s="7"/>
      <c r="T38" s="7">
        <f t="shared" si="32"/>
        <v>1145233.6000000001</v>
      </c>
      <c r="U38" s="7">
        <f t="shared" si="33"/>
        <v>1145233.6000000001</v>
      </c>
      <c r="V38" s="1">
        <v>1145230</v>
      </c>
      <c r="W38" s="40">
        <f t="shared" si="4"/>
        <v>3.6000000000931323</v>
      </c>
    </row>
    <row r="39" spans="1:23" ht="12.75" customHeight="1" x14ac:dyDescent="0.2">
      <c r="A39" s="2" t="s">
        <v>14</v>
      </c>
      <c r="B39" s="2"/>
      <c r="C39" s="20"/>
      <c r="D39" s="20"/>
      <c r="E39" s="20"/>
      <c r="F39" s="3"/>
      <c r="G39" s="3">
        <v>145</v>
      </c>
      <c r="H39" s="3">
        <f t="shared" si="29"/>
        <v>0</v>
      </c>
      <c r="I39" s="4"/>
      <c r="J39" s="4">
        <v>115</v>
      </c>
      <c r="K39" s="4">
        <f t="shared" si="30"/>
        <v>0</v>
      </c>
      <c r="L39" s="6"/>
      <c r="M39" s="5">
        <f t="shared" si="31"/>
        <v>0</v>
      </c>
      <c r="N39" s="5"/>
      <c r="O39" s="7"/>
      <c r="P39" s="7"/>
      <c r="Q39" s="36"/>
      <c r="R39" s="36"/>
      <c r="S39" s="7"/>
      <c r="T39" s="7">
        <f t="shared" si="32"/>
        <v>0</v>
      </c>
      <c r="U39" s="7">
        <f t="shared" si="33"/>
        <v>0</v>
      </c>
      <c r="V39" s="1"/>
      <c r="W39" s="40">
        <f t="shared" si="4"/>
        <v>0</v>
      </c>
    </row>
    <row r="40" spans="1:23" ht="12.75" customHeight="1" x14ac:dyDescent="0.2">
      <c r="A40" s="2" t="s">
        <v>12</v>
      </c>
      <c r="B40" s="2" t="s">
        <v>59</v>
      </c>
      <c r="C40" s="20"/>
      <c r="D40" s="20"/>
      <c r="E40" s="20"/>
      <c r="F40" s="3">
        <v>783.08</v>
      </c>
      <c r="G40" s="3">
        <v>145</v>
      </c>
      <c r="H40" s="3">
        <f t="shared" si="29"/>
        <v>113546.6</v>
      </c>
      <c r="I40" s="4">
        <v>6289.03</v>
      </c>
      <c r="J40" s="4">
        <v>115</v>
      </c>
      <c r="K40" s="4">
        <f t="shared" si="30"/>
        <v>723238.45</v>
      </c>
      <c r="L40" s="6">
        <f>5750+11500+11500+5750+5750+11500</f>
        <v>51750</v>
      </c>
      <c r="M40" s="5">
        <f t="shared" si="31"/>
        <v>888535.04999999993</v>
      </c>
      <c r="N40" s="5"/>
      <c r="O40" s="7">
        <v>171742</v>
      </c>
      <c r="P40" s="7">
        <f>499+4350+500+2000+6900+5000+5150</f>
        <v>24399</v>
      </c>
      <c r="Q40" s="36"/>
      <c r="R40" s="36"/>
      <c r="S40" s="7">
        <v>240000</v>
      </c>
      <c r="T40" s="7">
        <f t="shared" si="32"/>
        <v>692394.04999999993</v>
      </c>
      <c r="U40" s="7">
        <f t="shared" si="33"/>
        <v>452394.04999999993</v>
      </c>
      <c r="V40" s="1">
        <v>452320</v>
      </c>
      <c r="W40" s="40">
        <f t="shared" si="4"/>
        <v>74.049999999930151</v>
      </c>
    </row>
    <row r="41" spans="1:23" ht="12.75" customHeight="1" x14ac:dyDescent="0.2">
      <c r="A41" s="2" t="s">
        <v>13</v>
      </c>
      <c r="B41" s="2"/>
      <c r="C41" s="20"/>
      <c r="D41" s="20"/>
      <c r="E41" s="20"/>
      <c r="F41" s="3">
        <v>833.02</v>
      </c>
      <c r="G41" s="3">
        <v>145</v>
      </c>
      <c r="H41" s="3">
        <f t="shared" si="29"/>
        <v>120787.9</v>
      </c>
      <c r="I41" s="4">
        <v>4691.9799999999996</v>
      </c>
      <c r="J41" s="4">
        <v>115</v>
      </c>
      <c r="K41" s="4">
        <f t="shared" si="30"/>
        <v>539577.69999999995</v>
      </c>
      <c r="L41" s="6"/>
      <c r="M41" s="5">
        <f t="shared" si="31"/>
        <v>660365.6</v>
      </c>
      <c r="N41" s="5"/>
      <c r="O41" s="7">
        <v>80863</v>
      </c>
      <c r="P41" s="7">
        <f>1500+500+1500+4660+3020</f>
        <v>11180</v>
      </c>
      <c r="Q41" s="36"/>
      <c r="R41" s="36"/>
      <c r="S41" s="7"/>
      <c r="T41" s="7">
        <f t="shared" si="32"/>
        <v>568322.6</v>
      </c>
      <c r="U41" s="7">
        <f t="shared" si="33"/>
        <v>568322.6</v>
      </c>
      <c r="V41" s="1">
        <v>568320</v>
      </c>
      <c r="W41" s="40">
        <f t="shared" si="4"/>
        <v>2.5999999999767169</v>
      </c>
    </row>
    <row r="42" spans="1:23" ht="12.75" customHeight="1" x14ac:dyDescent="0.2">
      <c r="A42" s="2" t="s">
        <v>14</v>
      </c>
      <c r="B42" s="2"/>
      <c r="C42" s="20"/>
      <c r="D42" s="20"/>
      <c r="E42" s="20"/>
      <c r="F42" s="3">
        <v>386.53</v>
      </c>
      <c r="G42" s="3">
        <v>145</v>
      </c>
      <c r="H42" s="3">
        <f t="shared" si="29"/>
        <v>56046.85</v>
      </c>
      <c r="I42" s="4">
        <v>6886.83</v>
      </c>
      <c r="J42" s="4">
        <v>115</v>
      </c>
      <c r="K42" s="4">
        <f t="shared" si="30"/>
        <v>791985.45</v>
      </c>
      <c r="L42" s="6">
        <f>6750+11500+11500+11500</f>
        <v>41250</v>
      </c>
      <c r="M42" s="5">
        <f t="shared" si="31"/>
        <v>889282.29999999993</v>
      </c>
      <c r="N42" s="5"/>
      <c r="O42" s="7">
        <v>26470</v>
      </c>
      <c r="P42" s="7">
        <f>10650+8000</f>
        <v>18650</v>
      </c>
      <c r="Q42" s="36"/>
      <c r="R42" s="36"/>
      <c r="S42" s="7"/>
      <c r="T42" s="7">
        <f t="shared" si="32"/>
        <v>844162.29999999993</v>
      </c>
      <c r="U42" s="7">
        <f t="shared" si="33"/>
        <v>844162.29999999993</v>
      </c>
      <c r="V42" s="1">
        <v>844160</v>
      </c>
      <c r="W42" s="40">
        <f t="shared" si="4"/>
        <v>2.2999999999301508</v>
      </c>
    </row>
    <row r="43" spans="1:23" ht="12.75" customHeight="1" x14ac:dyDescent="0.2">
      <c r="A43" s="2" t="s">
        <v>12</v>
      </c>
      <c r="B43" s="2" t="s">
        <v>60</v>
      </c>
      <c r="C43" s="20"/>
      <c r="D43" s="20"/>
      <c r="E43" s="20"/>
      <c r="F43" s="3">
        <v>1419.64</v>
      </c>
      <c r="G43" s="3">
        <v>145</v>
      </c>
      <c r="H43" s="3">
        <f t="shared" si="29"/>
        <v>205847.80000000002</v>
      </c>
      <c r="I43" s="4">
        <v>5796.77</v>
      </c>
      <c r="J43" s="4">
        <v>115</v>
      </c>
      <c r="K43" s="4">
        <f t="shared" si="30"/>
        <v>666628.55000000005</v>
      </c>
      <c r="L43" s="6"/>
      <c r="M43" s="5">
        <f t="shared" si="31"/>
        <v>872476.35000000009</v>
      </c>
      <c r="N43" s="5"/>
      <c r="O43" s="7">
        <f>149741+300</f>
        <v>150041</v>
      </c>
      <c r="P43" s="7">
        <f>2600+3248+1378+2000+4000+8444+8050</f>
        <v>29720</v>
      </c>
      <c r="Q43" s="36"/>
      <c r="R43" s="36"/>
      <c r="S43" s="7"/>
      <c r="T43" s="7">
        <f t="shared" si="32"/>
        <v>692715.35000000009</v>
      </c>
      <c r="U43" s="7">
        <f t="shared" si="33"/>
        <v>692715.35000000009</v>
      </c>
      <c r="V43" s="1">
        <v>692688</v>
      </c>
      <c r="W43" s="40">
        <f t="shared" si="4"/>
        <v>27.350000000093132</v>
      </c>
    </row>
    <row r="44" spans="1:23" ht="12.75" customHeight="1" x14ac:dyDescent="0.2">
      <c r="A44" s="2" t="s">
        <v>13</v>
      </c>
      <c r="B44" s="2"/>
      <c r="C44" s="20"/>
      <c r="D44" s="20"/>
      <c r="E44" s="20"/>
      <c r="F44" s="3">
        <v>1627.23</v>
      </c>
      <c r="G44" s="3">
        <v>145</v>
      </c>
      <c r="H44" s="3">
        <f t="shared" si="29"/>
        <v>235948.35</v>
      </c>
      <c r="I44" s="4">
        <v>8445.58</v>
      </c>
      <c r="J44" s="4">
        <v>115</v>
      </c>
      <c r="K44" s="4">
        <f t="shared" si="30"/>
        <v>971241.7</v>
      </c>
      <c r="L44" s="6">
        <v>7000</v>
      </c>
      <c r="M44" s="5">
        <f t="shared" si="31"/>
        <v>1214190.05</v>
      </c>
      <c r="N44" s="5"/>
      <c r="O44" s="7">
        <f>4485+5750+1216+11500+13570+575+1000+14260+2300+2760+2990+14260+12880+2990+460+11500+10925</f>
        <v>113421</v>
      </c>
      <c r="P44" s="7">
        <v>725</v>
      </c>
      <c r="Q44" s="36"/>
      <c r="R44" s="36"/>
      <c r="S44" s="7"/>
      <c r="T44" s="7">
        <f t="shared" si="32"/>
        <v>1100044.05</v>
      </c>
      <c r="U44" s="7">
        <f t="shared" si="33"/>
        <v>1100044.05</v>
      </c>
      <c r="V44" s="1">
        <v>1099980</v>
      </c>
      <c r="W44" s="40">
        <f t="shared" si="4"/>
        <v>64.050000000046566</v>
      </c>
    </row>
    <row r="45" spans="1:23" ht="12.75" customHeight="1" x14ac:dyDescent="0.2">
      <c r="A45" s="2" t="s">
        <v>14</v>
      </c>
      <c r="B45" s="2"/>
      <c r="C45" s="20"/>
      <c r="D45" s="20"/>
      <c r="E45" s="20"/>
      <c r="F45" s="3">
        <v>356.96</v>
      </c>
      <c r="G45" s="3">
        <v>145</v>
      </c>
      <c r="H45" s="3">
        <f t="shared" si="29"/>
        <v>51759.199999999997</v>
      </c>
      <c r="I45" s="4">
        <v>9242.1200000000008</v>
      </c>
      <c r="J45" s="4">
        <v>115</v>
      </c>
      <c r="K45" s="4">
        <f t="shared" si="30"/>
        <v>1062843.8</v>
      </c>
      <c r="L45" s="6">
        <v>3800</v>
      </c>
      <c r="M45" s="5">
        <f t="shared" si="31"/>
        <v>1118403</v>
      </c>
      <c r="N45" s="5"/>
      <c r="O45" s="7">
        <v>184965</v>
      </c>
      <c r="P45" s="7">
        <f>6900+4100</f>
        <v>11000</v>
      </c>
      <c r="Q45" s="36"/>
      <c r="R45" s="36"/>
      <c r="S45" s="7">
        <v>8860</v>
      </c>
      <c r="T45" s="7">
        <f t="shared" si="32"/>
        <v>922438</v>
      </c>
      <c r="U45" s="7">
        <f t="shared" si="33"/>
        <v>913578</v>
      </c>
      <c r="V45" s="1">
        <v>913530</v>
      </c>
      <c r="W45" s="40">
        <f t="shared" si="4"/>
        <v>48</v>
      </c>
    </row>
    <row r="46" spans="1:23" ht="12.75" customHeight="1" x14ac:dyDescent="0.2">
      <c r="A46" s="2" t="s">
        <v>12</v>
      </c>
      <c r="B46" s="2" t="s">
        <v>61</v>
      </c>
      <c r="C46" s="20"/>
      <c r="D46" s="20"/>
      <c r="E46" s="20"/>
      <c r="F46" s="3">
        <v>907.85</v>
      </c>
      <c r="G46" s="3">
        <v>145</v>
      </c>
      <c r="H46" s="3">
        <f t="shared" si="29"/>
        <v>131638.25</v>
      </c>
      <c r="I46" s="4">
        <v>6497.98</v>
      </c>
      <c r="J46" s="4">
        <v>115</v>
      </c>
      <c r="K46" s="4">
        <f t="shared" si="30"/>
        <v>747267.7</v>
      </c>
      <c r="L46" s="6">
        <v>50000</v>
      </c>
      <c r="M46" s="5">
        <f t="shared" si="31"/>
        <v>928905.95</v>
      </c>
      <c r="N46" s="5"/>
      <c r="O46" s="7">
        <f>2300+1160+5945+5990+2900+1450+1305+2300+3450+2300+3450+2300+1725+1312+2415+13178+92000+11500+3.79+3490</f>
        <v>160473.79</v>
      </c>
      <c r="P46" s="7">
        <f>100+2300+500+6900</f>
        <v>9800</v>
      </c>
      <c r="Q46" s="36">
        <v>95000</v>
      </c>
      <c r="R46" s="36"/>
      <c r="S46" s="7">
        <v>445000</v>
      </c>
      <c r="T46" s="7">
        <f t="shared" si="32"/>
        <v>758632.15999999992</v>
      </c>
      <c r="U46" s="7">
        <f t="shared" si="33"/>
        <v>218632.15999999992</v>
      </c>
      <c r="V46" s="1">
        <v>218170</v>
      </c>
      <c r="W46" s="40">
        <f t="shared" si="4"/>
        <v>462.15999999991618</v>
      </c>
    </row>
    <row r="47" spans="1:23" ht="12.75" customHeight="1" x14ac:dyDescent="0.2">
      <c r="A47" s="2" t="s">
        <v>13</v>
      </c>
      <c r="B47" s="2"/>
      <c r="C47" s="20"/>
      <c r="D47" s="20"/>
      <c r="E47" s="20"/>
      <c r="F47" s="3">
        <v>707.27</v>
      </c>
      <c r="G47" s="3">
        <v>145</v>
      </c>
      <c r="H47" s="3">
        <f t="shared" si="29"/>
        <v>102554.15</v>
      </c>
      <c r="I47" s="4">
        <v>6339.56</v>
      </c>
      <c r="J47" s="4">
        <v>115</v>
      </c>
      <c r="K47" s="4">
        <f t="shared" si="30"/>
        <v>729049.4</v>
      </c>
      <c r="L47" s="6"/>
      <c r="M47" s="5">
        <f t="shared" si="31"/>
        <v>831603.55</v>
      </c>
      <c r="N47" s="5"/>
      <c r="O47" s="36">
        <f>144887+4600</f>
        <v>149487</v>
      </c>
      <c r="P47" s="7">
        <f>15000+1440+1500+9200+500+570</f>
        <v>28210</v>
      </c>
      <c r="Q47" s="36"/>
      <c r="R47" s="36"/>
      <c r="S47" s="7"/>
      <c r="T47" s="7">
        <f t="shared" si="32"/>
        <v>653906.55000000005</v>
      </c>
      <c r="U47" s="7">
        <f t="shared" si="33"/>
        <v>653906.55000000005</v>
      </c>
      <c r="V47" s="1">
        <v>653970</v>
      </c>
      <c r="W47" s="40">
        <f t="shared" si="4"/>
        <v>-63.449999999953434</v>
      </c>
    </row>
    <row r="48" spans="1:23" ht="12.75" customHeight="1" x14ac:dyDescent="0.2">
      <c r="A48" s="2" t="s">
        <v>14</v>
      </c>
      <c r="B48" s="2"/>
      <c r="C48" s="20"/>
      <c r="D48" s="20"/>
      <c r="E48" s="20"/>
      <c r="F48" s="3">
        <v>313.63</v>
      </c>
      <c r="G48" s="3">
        <v>145</v>
      </c>
      <c r="H48" s="3">
        <f t="shared" si="29"/>
        <v>45476.35</v>
      </c>
      <c r="I48" s="4">
        <v>8017.61</v>
      </c>
      <c r="J48" s="4">
        <v>115</v>
      </c>
      <c r="K48" s="4">
        <f t="shared" si="30"/>
        <v>922025.14999999991</v>
      </c>
      <c r="L48" s="6"/>
      <c r="M48" s="5">
        <f t="shared" si="31"/>
        <v>967501.49999999988</v>
      </c>
      <c r="N48" s="5"/>
      <c r="O48" s="36">
        <f>76918+5900</f>
        <v>82818</v>
      </c>
      <c r="P48" s="7">
        <f>3300+1850+4090</f>
        <v>9240</v>
      </c>
      <c r="Q48" s="36"/>
      <c r="R48" s="36"/>
      <c r="S48" s="7"/>
      <c r="T48" s="7">
        <f t="shared" si="32"/>
        <v>875443.49999999988</v>
      </c>
      <c r="U48" s="7">
        <f t="shared" si="33"/>
        <v>875443.49999999988</v>
      </c>
      <c r="V48" s="1">
        <v>875440</v>
      </c>
      <c r="W48" s="40">
        <f t="shared" si="4"/>
        <v>3.4999999998835847</v>
      </c>
    </row>
    <row r="49" spans="1:23" ht="12.75" customHeight="1" x14ac:dyDescent="0.2">
      <c r="A49" s="2" t="s">
        <v>12</v>
      </c>
      <c r="B49" s="2" t="s">
        <v>62</v>
      </c>
      <c r="C49" s="20"/>
      <c r="D49" s="20"/>
      <c r="E49" s="20"/>
      <c r="F49" s="3">
        <f>743.68+150.18</f>
        <v>893.8599999999999</v>
      </c>
      <c r="G49" s="3">
        <v>145</v>
      </c>
      <c r="H49" s="3">
        <f t="shared" si="29"/>
        <v>129609.69999999998</v>
      </c>
      <c r="I49" s="4">
        <v>7379.41</v>
      </c>
      <c r="J49" s="4">
        <v>115</v>
      </c>
      <c r="K49" s="4">
        <f t="shared" si="30"/>
        <v>848632.15</v>
      </c>
      <c r="L49" s="6">
        <f>11500+11500+11500+11500+11500+11500+3490</f>
        <v>72490</v>
      </c>
      <c r="M49" s="5">
        <f t="shared" si="31"/>
        <v>1050731.8500000001</v>
      </c>
      <c r="N49" s="5"/>
      <c r="O49" s="36">
        <v>94716</v>
      </c>
      <c r="P49" s="7">
        <f>1000+10000+1000+2120+5400+32725</f>
        <v>52245</v>
      </c>
      <c r="Q49" s="36"/>
      <c r="R49" s="36">
        <v>25000</v>
      </c>
      <c r="S49" s="7">
        <f>69000+105000</f>
        <v>174000</v>
      </c>
      <c r="T49" s="7">
        <f t="shared" si="32"/>
        <v>903770.85000000009</v>
      </c>
      <c r="U49" s="7">
        <f t="shared" si="33"/>
        <v>704770.85000000009</v>
      </c>
      <c r="V49" s="1">
        <v>704770</v>
      </c>
      <c r="W49" s="40">
        <f t="shared" si="4"/>
        <v>0.85000000009313226</v>
      </c>
    </row>
    <row r="50" spans="1:23" ht="12.75" customHeight="1" x14ac:dyDescent="0.2">
      <c r="A50" s="2" t="s">
        <v>13</v>
      </c>
      <c r="B50" s="2"/>
      <c r="C50" s="20"/>
      <c r="D50" s="20"/>
      <c r="E50" s="20"/>
      <c r="F50" s="3">
        <v>774.66</v>
      </c>
      <c r="G50" s="3">
        <v>145</v>
      </c>
      <c r="H50" s="3">
        <f t="shared" si="29"/>
        <v>112325.7</v>
      </c>
      <c r="I50" s="4">
        <v>4951.3100000000004</v>
      </c>
      <c r="J50" s="4">
        <v>115</v>
      </c>
      <c r="K50" s="4">
        <f t="shared" si="30"/>
        <v>569400.65</v>
      </c>
      <c r="L50" s="6">
        <v>69000</v>
      </c>
      <c r="M50" s="5">
        <f t="shared" si="31"/>
        <v>750726.35</v>
      </c>
      <c r="N50" s="5"/>
      <c r="O50" s="36">
        <v>40629</v>
      </c>
      <c r="P50" s="7">
        <f>3000+1500</f>
        <v>4500</v>
      </c>
      <c r="Q50" s="50">
        <v>118000</v>
      </c>
      <c r="R50" s="36"/>
      <c r="S50" s="7"/>
      <c r="T50" s="7">
        <f t="shared" si="32"/>
        <v>705597.35</v>
      </c>
      <c r="U50" s="7">
        <f t="shared" si="33"/>
        <v>587597.35</v>
      </c>
      <c r="V50" s="1">
        <v>587550</v>
      </c>
      <c r="W50" s="40">
        <f t="shared" si="4"/>
        <v>47.349999999976717</v>
      </c>
    </row>
    <row r="51" spans="1:23" ht="12.75" customHeight="1" x14ac:dyDescent="0.2">
      <c r="A51" s="2" t="s">
        <v>14</v>
      </c>
      <c r="B51" s="2"/>
      <c r="C51" s="20"/>
      <c r="D51" s="20"/>
      <c r="E51" s="20"/>
      <c r="F51" s="3">
        <v>282.60000000000002</v>
      </c>
      <c r="G51" s="3">
        <v>145</v>
      </c>
      <c r="H51" s="3">
        <f t="shared" si="29"/>
        <v>40977</v>
      </c>
      <c r="I51" s="4">
        <v>8265.27</v>
      </c>
      <c r="J51" s="4">
        <v>115</v>
      </c>
      <c r="K51" s="4">
        <f t="shared" si="30"/>
        <v>950506.05</v>
      </c>
      <c r="L51" s="6"/>
      <c r="M51" s="5">
        <f t="shared" si="31"/>
        <v>991483.05</v>
      </c>
      <c r="N51" s="5"/>
      <c r="O51" s="36">
        <v>114271</v>
      </c>
      <c r="P51" s="7">
        <f>3010+2561</f>
        <v>5571</v>
      </c>
      <c r="Q51" s="36"/>
      <c r="R51" s="36"/>
      <c r="S51" s="7"/>
      <c r="T51" s="7">
        <f t="shared" si="32"/>
        <v>871641.05</v>
      </c>
      <c r="U51" s="7">
        <f t="shared" si="33"/>
        <v>871641.05</v>
      </c>
      <c r="V51" s="1">
        <v>871630</v>
      </c>
      <c r="W51" s="40">
        <f t="shared" si="4"/>
        <v>11.050000000046566</v>
      </c>
    </row>
    <row r="52" spans="1:23" ht="12.75" customHeight="1" x14ac:dyDescent="0.2">
      <c r="A52" s="2" t="s">
        <v>12</v>
      </c>
      <c r="B52" s="2" t="s">
        <v>63</v>
      </c>
      <c r="C52" s="20"/>
      <c r="D52" s="20"/>
      <c r="E52" s="20"/>
      <c r="F52" s="3">
        <v>936.44</v>
      </c>
      <c r="G52" s="3">
        <v>145</v>
      </c>
      <c r="H52" s="3">
        <f t="shared" si="29"/>
        <v>135783.80000000002</v>
      </c>
      <c r="I52" s="4">
        <v>6621.34</v>
      </c>
      <c r="J52" s="4">
        <v>115</v>
      </c>
      <c r="K52" s="4">
        <f t="shared" si="30"/>
        <v>761454.1</v>
      </c>
      <c r="L52" s="6"/>
      <c r="M52" s="5">
        <f t="shared" si="31"/>
        <v>897237.9</v>
      </c>
      <c r="N52" s="5"/>
      <c r="O52" s="36">
        <f>85009+11500+1700</f>
        <v>98209</v>
      </c>
      <c r="P52" s="7">
        <f>5100+9200+1305</f>
        <v>15605</v>
      </c>
      <c r="Q52" s="36"/>
      <c r="R52" s="36"/>
      <c r="S52" s="7">
        <v>660000</v>
      </c>
      <c r="T52" s="7">
        <f t="shared" si="32"/>
        <v>783423.9</v>
      </c>
      <c r="U52" s="7">
        <f t="shared" si="33"/>
        <v>123423.90000000002</v>
      </c>
      <c r="V52" s="1">
        <v>123330</v>
      </c>
      <c r="W52" s="40">
        <f t="shared" si="4"/>
        <v>93.900000000023283</v>
      </c>
    </row>
    <row r="53" spans="1:23" ht="12.75" customHeight="1" x14ac:dyDescent="0.2">
      <c r="A53" s="2" t="s">
        <v>13</v>
      </c>
      <c r="B53" s="2"/>
      <c r="C53" s="20"/>
      <c r="D53" s="20"/>
      <c r="E53" s="20"/>
      <c r="F53" s="3">
        <v>1635.15</v>
      </c>
      <c r="G53" s="3">
        <v>145</v>
      </c>
      <c r="H53" s="3">
        <f t="shared" si="29"/>
        <v>237096.75</v>
      </c>
      <c r="I53" s="4">
        <v>4320.41</v>
      </c>
      <c r="J53" s="4">
        <v>115</v>
      </c>
      <c r="K53" s="4">
        <f t="shared" si="30"/>
        <v>496847.14999999997</v>
      </c>
      <c r="L53" s="6">
        <f>4500+11500+11500+11500</f>
        <v>39000</v>
      </c>
      <c r="M53" s="5">
        <f t="shared" si="31"/>
        <v>772943.89999999991</v>
      </c>
      <c r="N53" s="5"/>
      <c r="O53" s="36">
        <f>2300+5750+3565+1150+1305+12825+6900+2300+2300+3220+5865+4140+6900+3335+6670+3450</f>
        <v>71975</v>
      </c>
      <c r="P53" s="36">
        <f>3109+1000+1200+500+10000+1670+2000+5883</f>
        <v>25362</v>
      </c>
      <c r="Q53" s="36"/>
      <c r="R53" s="36"/>
      <c r="S53" s="7"/>
      <c r="T53" s="7">
        <f t="shared" si="32"/>
        <v>675606.89999999991</v>
      </c>
      <c r="U53" s="7">
        <f t="shared" si="33"/>
        <v>675606.89999999991</v>
      </c>
      <c r="V53" s="1">
        <v>675560</v>
      </c>
      <c r="W53" s="40">
        <f t="shared" si="4"/>
        <v>46.899999999906868</v>
      </c>
    </row>
    <row r="54" spans="1:23" ht="12.75" customHeight="1" x14ac:dyDescent="0.2">
      <c r="A54" s="2" t="s">
        <v>14</v>
      </c>
      <c r="B54" s="2"/>
      <c r="C54" s="20"/>
      <c r="D54" s="20"/>
      <c r="E54" s="20"/>
      <c r="F54" s="3">
        <v>251.29</v>
      </c>
      <c r="G54" s="3">
        <v>145</v>
      </c>
      <c r="H54" s="3">
        <f t="shared" si="29"/>
        <v>36437.049999999996</v>
      </c>
      <c r="I54" s="4">
        <v>7565.4</v>
      </c>
      <c r="J54" s="4">
        <v>115</v>
      </c>
      <c r="K54" s="4">
        <f t="shared" si="30"/>
        <v>870021</v>
      </c>
      <c r="L54" s="6"/>
      <c r="M54" s="5">
        <f t="shared" si="31"/>
        <v>906458.05</v>
      </c>
      <c r="N54" s="5"/>
      <c r="O54" s="36">
        <f>93116+1994</f>
        <v>95110</v>
      </c>
      <c r="P54" s="7">
        <f>700+3448</f>
        <v>4148</v>
      </c>
      <c r="Q54" s="36">
        <v>53460</v>
      </c>
      <c r="R54" s="36"/>
      <c r="S54" s="7"/>
      <c r="T54" s="7">
        <f t="shared" si="32"/>
        <v>807200.05</v>
      </c>
      <c r="U54" s="7">
        <f t="shared" si="33"/>
        <v>753740.05</v>
      </c>
      <c r="V54" s="1">
        <v>753740</v>
      </c>
      <c r="W54" s="40">
        <f t="shared" si="4"/>
        <v>5.0000000046566129E-2</v>
      </c>
    </row>
    <row r="55" spans="1:23" ht="12.75" customHeight="1" x14ac:dyDescent="0.2">
      <c r="A55" s="2" t="s">
        <v>12</v>
      </c>
      <c r="B55" s="2" t="s">
        <v>64</v>
      </c>
      <c r="C55" s="20"/>
      <c r="D55" s="20"/>
      <c r="E55" s="20"/>
      <c r="F55" s="3">
        <v>975.12</v>
      </c>
      <c r="G55" s="3">
        <v>145</v>
      </c>
      <c r="H55" s="3">
        <f t="shared" si="29"/>
        <v>141392.4</v>
      </c>
      <c r="I55" s="4">
        <v>5912.42</v>
      </c>
      <c r="J55" s="4">
        <v>115</v>
      </c>
      <c r="K55" s="4">
        <f t="shared" si="30"/>
        <v>679928.3</v>
      </c>
      <c r="L55" s="6">
        <f>40000+1700</f>
        <v>41700</v>
      </c>
      <c r="M55" s="5">
        <f t="shared" si="31"/>
        <v>863020.70000000007</v>
      </c>
      <c r="N55" s="5"/>
      <c r="O55" s="36">
        <f>95535+940</f>
        <v>96475</v>
      </c>
      <c r="P55" s="7">
        <f>3000+3030+4200+3379+500+6900+5000+5800</f>
        <v>31809</v>
      </c>
      <c r="Q55" s="36">
        <v>60000</v>
      </c>
      <c r="R55" s="36">
        <v>100000</v>
      </c>
      <c r="S55" s="7">
        <v>450000</v>
      </c>
      <c r="T55" s="7">
        <f t="shared" si="32"/>
        <v>734736.70000000007</v>
      </c>
      <c r="U55" s="7">
        <f t="shared" si="33"/>
        <v>124736.70000000007</v>
      </c>
      <c r="V55" s="1">
        <v>124690</v>
      </c>
      <c r="W55" s="40">
        <f t="shared" si="4"/>
        <v>46.700000000069849</v>
      </c>
    </row>
    <row r="56" spans="1:23" ht="12.75" customHeight="1" x14ac:dyDescent="0.2">
      <c r="A56" s="2" t="s">
        <v>13</v>
      </c>
      <c r="B56" s="2"/>
      <c r="C56" s="20"/>
      <c r="D56" s="20"/>
      <c r="E56" s="20"/>
      <c r="F56" s="3">
        <v>674.64</v>
      </c>
      <c r="G56" s="3">
        <v>145</v>
      </c>
      <c r="H56" s="3">
        <f t="shared" si="1"/>
        <v>97822.8</v>
      </c>
      <c r="I56" s="4">
        <v>5695.03</v>
      </c>
      <c r="J56" s="4">
        <v>115</v>
      </c>
      <c r="K56" s="4">
        <f t="shared" si="2"/>
        <v>654928.44999999995</v>
      </c>
      <c r="L56" s="6"/>
      <c r="M56" s="5">
        <f t="shared" si="19"/>
        <v>752751.25</v>
      </c>
      <c r="N56" s="5"/>
      <c r="O56" s="36">
        <f>2300+2300+2300+11500+2990+14375+2990+13915+7938+13570+920+15640+16445+10978+3795+4255+2300+5060+5175+7130+3450+1631</f>
        <v>150957</v>
      </c>
      <c r="P56" s="7">
        <f>5000+3000+1846+3000</f>
        <v>12846</v>
      </c>
      <c r="Q56" s="36"/>
      <c r="R56" s="36"/>
      <c r="S56" s="7"/>
      <c r="T56" s="7">
        <f t="shared" ref="T56:T67" si="34">M56-O56-P56</f>
        <v>588948.25</v>
      </c>
      <c r="U56" s="7">
        <f t="shared" si="3"/>
        <v>588948.25</v>
      </c>
      <c r="V56" s="1">
        <v>588950</v>
      </c>
      <c r="W56" s="40">
        <f t="shared" si="4"/>
        <v>-1.75</v>
      </c>
    </row>
    <row r="57" spans="1:23" ht="12.75" customHeight="1" x14ac:dyDescent="0.2">
      <c r="A57" s="2" t="s">
        <v>14</v>
      </c>
      <c r="B57" s="2"/>
      <c r="C57" s="20"/>
      <c r="D57" s="20"/>
      <c r="E57" s="20"/>
      <c r="F57" s="3">
        <v>344.3</v>
      </c>
      <c r="G57" s="3">
        <v>145</v>
      </c>
      <c r="H57" s="3">
        <f t="shared" si="1"/>
        <v>49923.5</v>
      </c>
      <c r="I57" s="4">
        <v>7844.13</v>
      </c>
      <c r="J57" s="4">
        <v>115</v>
      </c>
      <c r="K57" s="4">
        <f t="shared" si="2"/>
        <v>902074.95000000007</v>
      </c>
      <c r="L57" s="6"/>
      <c r="M57" s="5">
        <f t="shared" si="19"/>
        <v>951998.45000000007</v>
      </c>
      <c r="N57" s="5"/>
      <c r="O57" s="36">
        <f>920+13570+5231+2427+13570</f>
        <v>35718</v>
      </c>
      <c r="P57" s="7"/>
      <c r="Q57" s="36"/>
      <c r="R57" s="36"/>
      <c r="S57" s="7"/>
      <c r="T57" s="7">
        <f t="shared" si="34"/>
        <v>916280.45000000007</v>
      </c>
      <c r="U57" s="7">
        <f t="shared" si="3"/>
        <v>916280.45000000007</v>
      </c>
      <c r="V57" s="1">
        <v>916280</v>
      </c>
      <c r="W57" s="40">
        <f t="shared" si="4"/>
        <v>0.45000000006984919</v>
      </c>
    </row>
    <row r="58" spans="1:23" ht="12.75" customHeight="1" x14ac:dyDescent="0.2">
      <c r="A58" s="2" t="s">
        <v>12</v>
      </c>
      <c r="B58" s="2" t="s">
        <v>65</v>
      </c>
      <c r="C58" s="20"/>
      <c r="D58" s="20"/>
      <c r="E58" s="20"/>
      <c r="F58" s="3">
        <v>497.04</v>
      </c>
      <c r="G58" s="3">
        <v>145</v>
      </c>
      <c r="H58" s="3">
        <f t="shared" si="1"/>
        <v>72070.8</v>
      </c>
      <c r="I58" s="4">
        <v>2832.39</v>
      </c>
      <c r="J58" s="4">
        <v>115</v>
      </c>
      <c r="K58" s="4">
        <f t="shared" si="2"/>
        <v>325724.84999999998</v>
      </c>
      <c r="L58" s="6">
        <v>12000</v>
      </c>
      <c r="M58" s="5">
        <f t="shared" si="19"/>
        <v>409795.64999999997</v>
      </c>
      <c r="N58" s="5"/>
      <c r="O58" s="36">
        <f>3450+3400+2300+2300+2300+2300+2300+5520+6210+2300</f>
        <v>32380</v>
      </c>
      <c r="P58" s="7">
        <f>1825+725+695</f>
        <v>3245</v>
      </c>
      <c r="Q58" s="36"/>
      <c r="R58" s="36"/>
      <c r="S58" s="7"/>
      <c r="T58" s="7">
        <f t="shared" si="34"/>
        <v>374170.64999999997</v>
      </c>
      <c r="U58" s="7">
        <f t="shared" si="3"/>
        <v>374170.64999999997</v>
      </c>
      <c r="V58" s="1">
        <v>374120</v>
      </c>
      <c r="W58" s="40">
        <f t="shared" si="4"/>
        <v>50.649999999965075</v>
      </c>
    </row>
    <row r="59" spans="1:23" ht="12.75" customHeight="1" x14ac:dyDescent="0.2">
      <c r="A59" s="2" t="s">
        <v>13</v>
      </c>
      <c r="B59" s="2"/>
      <c r="C59" s="20"/>
      <c r="D59" s="20"/>
      <c r="E59" s="20"/>
      <c r="F59" s="3">
        <v>951.8</v>
      </c>
      <c r="G59" s="3">
        <v>145</v>
      </c>
      <c r="H59" s="3">
        <f t="shared" si="1"/>
        <v>138011</v>
      </c>
      <c r="I59" s="4">
        <v>11248.51</v>
      </c>
      <c r="J59" s="4">
        <v>115</v>
      </c>
      <c r="K59" s="4">
        <f t="shared" si="2"/>
        <v>1293578.6500000001</v>
      </c>
      <c r="L59" s="6">
        <f>11500*3</f>
        <v>34500</v>
      </c>
      <c r="M59" s="5">
        <f>K59+H59+E59+L59</f>
        <v>1466089.6500000001</v>
      </c>
      <c r="N59" s="5"/>
      <c r="O59" s="36">
        <f>11500+11500+1150+1725+6670+6555+4600+11500+11500+11500+5060+3450+2300</f>
        <v>89010</v>
      </c>
      <c r="P59" s="7">
        <f>2100+3100+1300+1200+1500+400</f>
        <v>9600</v>
      </c>
      <c r="Q59" s="36"/>
      <c r="R59" s="36"/>
      <c r="S59" s="7"/>
      <c r="T59" s="7">
        <f t="shared" si="34"/>
        <v>1367479.6500000001</v>
      </c>
      <c r="U59" s="7">
        <f t="shared" si="3"/>
        <v>1367479.6500000001</v>
      </c>
      <c r="V59" s="1">
        <v>1367460</v>
      </c>
      <c r="W59" s="40">
        <f t="shared" si="4"/>
        <v>19.650000000139698</v>
      </c>
    </row>
    <row r="60" spans="1:23" ht="12.75" customHeight="1" x14ac:dyDescent="0.2">
      <c r="A60" s="2"/>
      <c r="B60" s="2"/>
      <c r="C60" s="20"/>
      <c r="D60" s="20"/>
      <c r="E60" s="20"/>
      <c r="F60" s="3"/>
      <c r="G60" s="3">
        <v>145</v>
      </c>
      <c r="H60" s="3">
        <f t="shared" si="1"/>
        <v>0</v>
      </c>
      <c r="I60" s="4"/>
      <c r="J60" s="4">
        <v>115</v>
      </c>
      <c r="K60" s="4">
        <f t="shared" si="2"/>
        <v>0</v>
      </c>
      <c r="L60" s="6"/>
      <c r="M60" s="5">
        <f t="shared" si="19"/>
        <v>0</v>
      </c>
      <c r="N60" s="5"/>
      <c r="O60" s="36"/>
      <c r="P60" s="7"/>
      <c r="Q60" s="36"/>
      <c r="R60" s="36"/>
      <c r="S60" s="7"/>
      <c r="T60" s="7">
        <f t="shared" si="34"/>
        <v>0</v>
      </c>
      <c r="U60" s="7">
        <f t="shared" si="3"/>
        <v>0</v>
      </c>
      <c r="V60" s="1"/>
      <c r="W60" s="40">
        <f t="shared" si="4"/>
        <v>0</v>
      </c>
    </row>
    <row r="61" spans="1:23" ht="12.75" customHeight="1" x14ac:dyDescent="0.2">
      <c r="A61" s="2" t="s">
        <v>12</v>
      </c>
      <c r="B61" s="2" t="s">
        <v>66</v>
      </c>
      <c r="C61" s="20"/>
      <c r="D61" s="20"/>
      <c r="E61" s="20"/>
      <c r="F61" s="3">
        <v>845.08</v>
      </c>
      <c r="G61" s="3">
        <v>145</v>
      </c>
      <c r="H61" s="3">
        <f t="shared" ref="H61:H62" si="35">G61*F61</f>
        <v>122536.6</v>
      </c>
      <c r="I61" s="4">
        <v>6073.24</v>
      </c>
      <c r="J61" s="4">
        <v>115</v>
      </c>
      <c r="K61" s="4">
        <f t="shared" ref="K61:K62" si="36">J61*I61</f>
        <v>698422.6</v>
      </c>
      <c r="L61" s="6"/>
      <c r="M61" s="5">
        <f t="shared" ref="M61:M62" si="37">K61+H61+E61+L61</f>
        <v>820959.2</v>
      </c>
      <c r="N61" s="5"/>
      <c r="O61" s="36">
        <v>171265</v>
      </c>
      <c r="P61" s="7">
        <f>4500+4215+2000+3760+6000</f>
        <v>20475</v>
      </c>
      <c r="Q61" s="36"/>
      <c r="R61" s="36"/>
      <c r="S61" s="7">
        <v>300000</v>
      </c>
      <c r="T61" s="7">
        <f t="shared" si="34"/>
        <v>629219.19999999995</v>
      </c>
      <c r="U61" s="7">
        <f t="shared" si="3"/>
        <v>329219.19999999995</v>
      </c>
      <c r="V61" s="1">
        <v>329140</v>
      </c>
      <c r="W61" s="40">
        <f t="shared" si="4"/>
        <v>79.199999999953434</v>
      </c>
    </row>
    <row r="62" spans="1:23" ht="12.75" customHeight="1" x14ac:dyDescent="0.2">
      <c r="A62" s="2" t="s">
        <v>13</v>
      </c>
      <c r="B62" s="2"/>
      <c r="C62" s="20"/>
      <c r="D62" s="20"/>
      <c r="E62" s="20"/>
      <c r="F62" s="3">
        <v>815.9</v>
      </c>
      <c r="G62" s="3">
        <v>145</v>
      </c>
      <c r="H62" s="3">
        <f t="shared" si="35"/>
        <v>118305.5</v>
      </c>
      <c r="I62" s="4">
        <v>5978.1</v>
      </c>
      <c r="J62" s="4">
        <v>115</v>
      </c>
      <c r="K62" s="4">
        <f t="shared" si="36"/>
        <v>687481.5</v>
      </c>
      <c r="L62" s="6"/>
      <c r="M62" s="5">
        <f t="shared" si="37"/>
        <v>805787</v>
      </c>
      <c r="N62" s="5"/>
      <c r="O62" s="36">
        <v>197685</v>
      </c>
      <c r="P62" s="7">
        <f>1308+1000+9000+500+500</f>
        <v>12308</v>
      </c>
      <c r="Q62" s="36"/>
      <c r="R62" s="36"/>
      <c r="S62" s="7"/>
      <c r="T62" s="7">
        <f t="shared" si="34"/>
        <v>595794</v>
      </c>
      <c r="U62" s="7">
        <f t="shared" si="3"/>
        <v>595794</v>
      </c>
      <c r="V62" s="1">
        <v>595740</v>
      </c>
      <c r="W62" s="40">
        <f t="shared" si="4"/>
        <v>54</v>
      </c>
    </row>
    <row r="63" spans="1:23" ht="12.75" customHeight="1" x14ac:dyDescent="0.2">
      <c r="A63" s="2" t="s">
        <v>14</v>
      </c>
      <c r="B63" s="2"/>
      <c r="C63" s="20"/>
      <c r="D63" s="20"/>
      <c r="E63" s="20"/>
      <c r="F63" s="3">
        <v>298.47000000000003</v>
      </c>
      <c r="G63" s="3">
        <v>145</v>
      </c>
      <c r="H63" s="3">
        <f t="shared" si="1"/>
        <v>43278.15</v>
      </c>
      <c r="I63" s="4">
        <v>6463.12</v>
      </c>
      <c r="J63" s="4">
        <v>115</v>
      </c>
      <c r="K63" s="4">
        <f t="shared" si="2"/>
        <v>743258.79999999993</v>
      </c>
      <c r="L63" s="6"/>
      <c r="M63" s="5">
        <f t="shared" si="19"/>
        <v>786536.95</v>
      </c>
      <c r="N63" s="5"/>
      <c r="O63" s="36">
        <f>4060+1725+5750+11500+2180+13570+11500+16905+13570+2875+13570+13685+13570+690</f>
        <v>125150</v>
      </c>
      <c r="P63" s="7">
        <f>5700+2300</f>
        <v>8000</v>
      </c>
      <c r="Q63" s="36"/>
      <c r="R63" s="36"/>
      <c r="S63" s="7"/>
      <c r="T63" s="7">
        <f t="shared" si="34"/>
        <v>653386.94999999995</v>
      </c>
      <c r="U63" s="7">
        <f t="shared" si="3"/>
        <v>653386.94999999995</v>
      </c>
      <c r="V63" s="1">
        <v>653460</v>
      </c>
      <c r="W63" s="40">
        <f t="shared" si="4"/>
        <v>-73.050000000046566</v>
      </c>
    </row>
    <row r="64" spans="1:23" ht="12.75" customHeight="1" x14ac:dyDescent="0.2">
      <c r="A64" s="2" t="s">
        <v>12</v>
      </c>
      <c r="B64" s="2" t="s">
        <v>67</v>
      </c>
      <c r="C64" s="20"/>
      <c r="D64" s="20"/>
      <c r="E64" s="20"/>
      <c r="F64" s="3">
        <v>1085.94</v>
      </c>
      <c r="G64" s="3">
        <v>145</v>
      </c>
      <c r="H64" s="3">
        <f t="shared" si="1"/>
        <v>157461.30000000002</v>
      </c>
      <c r="I64" s="4">
        <v>7986.84</v>
      </c>
      <c r="J64" s="4">
        <v>115</v>
      </c>
      <c r="K64" s="4">
        <f t="shared" si="2"/>
        <v>918486.6</v>
      </c>
      <c r="L64" s="6"/>
      <c r="M64" s="5">
        <f t="shared" si="19"/>
        <v>1075947.8999999999</v>
      </c>
      <c r="N64" s="5"/>
      <c r="O64" s="36">
        <f>80938+6000+11640</f>
        <v>98578</v>
      </c>
      <c r="P64" s="7">
        <f>500+8000+610+1100</f>
        <v>10210</v>
      </c>
      <c r="Q64" s="36"/>
      <c r="R64" s="36"/>
      <c r="S64" s="7">
        <f>6000+5500</f>
        <v>11500</v>
      </c>
      <c r="T64" s="7">
        <f t="shared" si="34"/>
        <v>967159.89999999991</v>
      </c>
      <c r="U64" s="7">
        <f t="shared" si="3"/>
        <v>955659.89999999991</v>
      </c>
      <c r="V64" s="1">
        <v>955660</v>
      </c>
      <c r="W64" s="40">
        <f t="shared" si="4"/>
        <v>-0.10000000009313226</v>
      </c>
    </row>
    <row r="65" spans="1:23" ht="12.75" customHeight="1" x14ac:dyDescent="0.2">
      <c r="A65" s="2" t="s">
        <v>13</v>
      </c>
      <c r="B65" s="2"/>
      <c r="C65" s="20"/>
      <c r="D65" s="20"/>
      <c r="E65" s="20"/>
      <c r="F65" s="3">
        <v>553.72</v>
      </c>
      <c r="G65" s="3">
        <v>145</v>
      </c>
      <c r="H65" s="3">
        <f t="shared" si="1"/>
        <v>80289.400000000009</v>
      </c>
      <c r="I65" s="4">
        <v>4077.91</v>
      </c>
      <c r="J65" s="4">
        <v>115</v>
      </c>
      <c r="K65" s="4">
        <f t="shared" si="2"/>
        <v>468959.64999999997</v>
      </c>
      <c r="L65" s="6"/>
      <c r="M65" s="5">
        <f t="shared" si="19"/>
        <v>549249.04999999993</v>
      </c>
      <c r="N65" s="5"/>
      <c r="O65" s="36">
        <f>81673+4500</f>
        <v>86173</v>
      </c>
      <c r="P65" s="7">
        <f>5000+4252</f>
        <v>9252</v>
      </c>
      <c r="Q65" s="36"/>
      <c r="R65" s="36"/>
      <c r="S65" s="7"/>
      <c r="T65" s="7">
        <f t="shared" si="34"/>
        <v>453824.04999999993</v>
      </c>
      <c r="U65" s="7">
        <f t="shared" si="3"/>
        <v>453824.04999999993</v>
      </c>
      <c r="V65" s="1">
        <v>453810</v>
      </c>
      <c r="W65" s="40">
        <f t="shared" si="4"/>
        <v>14.049999999930151</v>
      </c>
    </row>
    <row r="66" spans="1:23" ht="12.75" customHeight="1" x14ac:dyDescent="0.2">
      <c r="A66" s="2" t="s">
        <v>14</v>
      </c>
      <c r="B66" s="2"/>
      <c r="C66" s="20"/>
      <c r="D66" s="20"/>
      <c r="E66" s="20"/>
      <c r="F66" s="3">
        <v>281.97000000000003</v>
      </c>
      <c r="G66" s="3">
        <v>145</v>
      </c>
      <c r="H66" s="3">
        <f t="shared" si="1"/>
        <v>40885.65</v>
      </c>
      <c r="I66" s="4">
        <v>6319.87</v>
      </c>
      <c r="J66" s="4">
        <v>115</v>
      </c>
      <c r="K66" s="4">
        <f t="shared" si="2"/>
        <v>726785.04999999993</v>
      </c>
      <c r="L66" s="6"/>
      <c r="M66" s="5">
        <f t="shared" si="19"/>
        <v>767670.7</v>
      </c>
      <c r="N66" s="5"/>
      <c r="O66" s="36">
        <v>26868</v>
      </c>
      <c r="P66" s="7">
        <f>3000+1217</f>
        <v>4217</v>
      </c>
      <c r="Q66" s="36"/>
      <c r="R66" s="36"/>
      <c r="S66" s="7"/>
      <c r="T66" s="7">
        <f t="shared" si="34"/>
        <v>736585.7</v>
      </c>
      <c r="U66" s="7">
        <f t="shared" si="3"/>
        <v>736585.7</v>
      </c>
      <c r="V66" s="1">
        <v>736550</v>
      </c>
      <c r="W66" s="40">
        <f t="shared" si="4"/>
        <v>35.699999999953434</v>
      </c>
    </row>
    <row r="67" spans="1:23" ht="12.75" customHeight="1" x14ac:dyDescent="0.2">
      <c r="A67" s="2" t="s">
        <v>12</v>
      </c>
      <c r="B67" s="2" t="s">
        <v>68</v>
      </c>
      <c r="C67" s="20"/>
      <c r="D67" s="20"/>
      <c r="E67" s="20"/>
      <c r="F67" s="3">
        <v>1979.02</v>
      </c>
      <c r="G67" s="3">
        <v>145</v>
      </c>
      <c r="H67" s="3">
        <f t="shared" si="1"/>
        <v>286957.90000000002</v>
      </c>
      <c r="I67" s="4">
        <v>7176.5</v>
      </c>
      <c r="J67" s="4">
        <v>115</v>
      </c>
      <c r="K67" s="4">
        <f t="shared" si="2"/>
        <v>825297.5</v>
      </c>
      <c r="L67" s="6"/>
      <c r="M67" s="5">
        <f t="shared" si="19"/>
        <v>1112255.3999999999</v>
      </c>
      <c r="N67" s="5"/>
      <c r="O67" s="36">
        <f>234879+200</f>
        <v>235079</v>
      </c>
      <c r="P67" s="7">
        <f>22550+2900</f>
        <v>25450</v>
      </c>
      <c r="Q67" s="36">
        <v>55270</v>
      </c>
      <c r="R67" s="36"/>
      <c r="S67" s="7">
        <f>58100+6000</f>
        <v>64100</v>
      </c>
      <c r="T67" s="7">
        <f t="shared" si="34"/>
        <v>851726.39999999991</v>
      </c>
      <c r="U67" s="7">
        <f t="shared" si="3"/>
        <v>732356.39999999991</v>
      </c>
      <c r="V67" s="1">
        <v>732356</v>
      </c>
      <c r="W67" s="40">
        <f t="shared" si="4"/>
        <v>0.39999999990686774</v>
      </c>
    </row>
    <row r="68" spans="1:23" ht="12.75" customHeight="1" x14ac:dyDescent="0.2">
      <c r="A68" s="2" t="s">
        <v>13</v>
      </c>
      <c r="B68" s="2"/>
      <c r="C68" s="20"/>
      <c r="D68" s="20"/>
      <c r="E68" s="20"/>
      <c r="F68" s="3">
        <v>856.56</v>
      </c>
      <c r="G68" s="3">
        <v>145</v>
      </c>
      <c r="H68" s="3">
        <f t="shared" si="1"/>
        <v>124201.2</v>
      </c>
      <c r="I68" s="4">
        <v>6236.48</v>
      </c>
      <c r="J68" s="4">
        <v>115</v>
      </c>
      <c r="K68" s="4">
        <f t="shared" si="2"/>
        <v>717195.2</v>
      </c>
      <c r="L68" s="6">
        <f>500+57500</f>
        <v>58000</v>
      </c>
      <c r="M68" s="5">
        <f t="shared" si="19"/>
        <v>899396.39999999991</v>
      </c>
      <c r="N68" s="5"/>
      <c r="O68" s="36">
        <f>3450+5750+6785+7050+5405+13570+14145+8050+2300+9890+4025+2300+1600</f>
        <v>84320</v>
      </c>
      <c r="P68" s="7">
        <f>100+3380+3000+190+27844+7000</f>
        <v>41514</v>
      </c>
      <c r="Q68" s="36"/>
      <c r="R68" s="36"/>
      <c r="S68" s="7"/>
      <c r="T68" s="7">
        <f t="shared" ref="T68:T96" si="38">M68-O68-P68</f>
        <v>773562.39999999991</v>
      </c>
      <c r="U68" s="7">
        <f t="shared" si="3"/>
        <v>773562.39999999991</v>
      </c>
      <c r="V68" s="1">
        <v>773520</v>
      </c>
      <c r="W68" s="40">
        <f t="shared" si="4"/>
        <v>42.399999999906868</v>
      </c>
    </row>
    <row r="69" spans="1:23" ht="12.75" customHeight="1" x14ac:dyDescent="0.2">
      <c r="A69" s="2" t="s">
        <v>14</v>
      </c>
      <c r="B69" s="2"/>
      <c r="C69" s="20"/>
      <c r="D69" s="20"/>
      <c r="E69" s="20"/>
      <c r="F69" s="3">
        <v>390.07</v>
      </c>
      <c r="G69" s="3">
        <v>145</v>
      </c>
      <c r="H69" s="3">
        <f t="shared" ref="H69:H96" si="39">G69*F69</f>
        <v>56560.15</v>
      </c>
      <c r="I69" s="4">
        <v>8989.99</v>
      </c>
      <c r="J69" s="4">
        <v>115</v>
      </c>
      <c r="K69" s="4">
        <f t="shared" ref="K69:K96" si="40">J69*I69</f>
        <v>1033848.85</v>
      </c>
      <c r="L69" s="6"/>
      <c r="M69" s="5">
        <f t="shared" ref="M69:M97" si="41">K69+H69+E69+L69</f>
        <v>1090409</v>
      </c>
      <c r="N69" s="5"/>
      <c r="O69" s="36">
        <f>3600+8700+6325+6555+5750+3600+5750+6000+5000+16445+2300+2300+2300+11500+5750+3941</f>
        <v>95816</v>
      </c>
      <c r="P69" s="7">
        <f>4800+3116</f>
        <v>7916</v>
      </c>
      <c r="Q69" s="36"/>
      <c r="R69" s="36"/>
      <c r="S69" s="7"/>
      <c r="T69" s="7">
        <f t="shared" si="38"/>
        <v>986677</v>
      </c>
      <c r="U69" s="7">
        <f t="shared" ref="U69:U96" si="42">M69-O69-P69-Q69-S69-R69</f>
        <v>986677</v>
      </c>
      <c r="V69" s="1">
        <v>986550</v>
      </c>
      <c r="W69" s="40">
        <f t="shared" ref="W69:W96" si="43">U69-V69</f>
        <v>127</v>
      </c>
    </row>
    <row r="70" spans="1:23" ht="12.75" customHeight="1" x14ac:dyDescent="0.2">
      <c r="A70" s="2" t="s">
        <v>12</v>
      </c>
      <c r="B70" s="2" t="s">
        <v>69</v>
      </c>
      <c r="C70" s="20"/>
      <c r="D70" s="20"/>
      <c r="E70" s="20"/>
      <c r="F70" s="3">
        <v>1764.7</v>
      </c>
      <c r="G70" s="3">
        <v>145</v>
      </c>
      <c r="H70" s="3">
        <f t="shared" si="39"/>
        <v>255881.5</v>
      </c>
      <c r="I70" s="4">
        <v>12132.98</v>
      </c>
      <c r="J70" s="4">
        <v>115</v>
      </c>
      <c r="K70" s="4">
        <f t="shared" si="40"/>
        <v>1395292.7</v>
      </c>
      <c r="L70" s="6">
        <v>30000</v>
      </c>
      <c r="M70" s="5">
        <f t="shared" si="41"/>
        <v>1681174.2</v>
      </c>
      <c r="N70" s="5"/>
      <c r="O70" s="36">
        <v>75392</v>
      </c>
      <c r="P70" s="7">
        <f>310+1220+3795+2000+3940</f>
        <v>11265</v>
      </c>
      <c r="Q70" s="36"/>
      <c r="R70" s="36"/>
      <c r="S70" s="7">
        <f>297600+21400+6100</f>
        <v>325100</v>
      </c>
      <c r="T70" s="7">
        <f t="shared" si="38"/>
        <v>1594517.2</v>
      </c>
      <c r="U70" s="7">
        <f t="shared" si="42"/>
        <v>1269417.2</v>
      </c>
      <c r="V70" s="1">
        <v>1269420</v>
      </c>
      <c r="W70" s="40">
        <f t="shared" si="43"/>
        <v>-2.8000000000465661</v>
      </c>
    </row>
    <row r="71" spans="1:23" ht="12.75" customHeight="1" x14ac:dyDescent="0.2">
      <c r="A71" s="2" t="s">
        <v>13</v>
      </c>
      <c r="B71" s="2"/>
      <c r="C71" s="20"/>
      <c r="D71" s="20"/>
      <c r="E71" s="20"/>
      <c r="F71" s="3">
        <v>768.8</v>
      </c>
      <c r="G71" s="3">
        <v>145</v>
      </c>
      <c r="H71" s="3">
        <f t="shared" si="39"/>
        <v>111476</v>
      </c>
      <c r="I71" s="4">
        <v>6742.7</v>
      </c>
      <c r="J71" s="4">
        <v>115</v>
      </c>
      <c r="K71" s="4">
        <f t="shared" si="40"/>
        <v>775410.5</v>
      </c>
      <c r="L71" s="6">
        <v>2000</v>
      </c>
      <c r="M71" s="5">
        <f t="shared" si="41"/>
        <v>888886.5</v>
      </c>
      <c r="N71" s="5"/>
      <c r="O71" s="7">
        <f>10350+4715+11500+2300+2300+7475+11500+2000+575+1000</f>
        <v>53715</v>
      </c>
      <c r="P71" s="7">
        <f>5000+3010+1200+480+4387+7393+9000</f>
        <v>30470</v>
      </c>
      <c r="Q71" s="36"/>
      <c r="R71" s="36"/>
      <c r="S71" s="7"/>
      <c r="T71" s="7">
        <f t="shared" si="38"/>
        <v>804701.5</v>
      </c>
      <c r="U71" s="7">
        <f t="shared" si="42"/>
        <v>804701.5</v>
      </c>
      <c r="V71" s="1">
        <v>804760</v>
      </c>
      <c r="W71" s="40">
        <f t="shared" si="43"/>
        <v>-58.5</v>
      </c>
    </row>
    <row r="72" spans="1:23" ht="12.75" customHeight="1" x14ac:dyDescent="0.2">
      <c r="A72" s="2" t="s">
        <v>14</v>
      </c>
      <c r="B72" s="2"/>
      <c r="C72" s="20"/>
      <c r="D72" s="20"/>
      <c r="E72" s="20"/>
      <c r="F72" s="3">
        <v>491.69</v>
      </c>
      <c r="G72" s="3">
        <v>145</v>
      </c>
      <c r="H72" s="3">
        <f t="shared" si="39"/>
        <v>71295.05</v>
      </c>
      <c r="I72" s="4">
        <v>6556.67</v>
      </c>
      <c r="J72" s="4">
        <v>115</v>
      </c>
      <c r="K72" s="4">
        <f t="shared" si="40"/>
        <v>754017.05</v>
      </c>
      <c r="L72" s="6"/>
      <c r="M72" s="5">
        <f t="shared" si="41"/>
        <v>825312.10000000009</v>
      </c>
      <c r="N72" s="5"/>
      <c r="O72" s="7">
        <f>48166+2000</f>
        <v>50166</v>
      </c>
      <c r="P72" s="7">
        <f>4500+3000+2000+5000</f>
        <v>14500</v>
      </c>
      <c r="Q72" s="36"/>
      <c r="R72" s="36"/>
      <c r="S72" s="7"/>
      <c r="T72" s="7">
        <f t="shared" si="38"/>
        <v>760646.10000000009</v>
      </c>
      <c r="U72" s="7">
        <f t="shared" si="42"/>
        <v>760646.10000000009</v>
      </c>
      <c r="V72" s="1">
        <v>760550</v>
      </c>
      <c r="W72" s="40">
        <f t="shared" si="43"/>
        <v>96.100000000093132</v>
      </c>
    </row>
    <row r="73" spans="1:23" ht="12.75" customHeight="1" x14ac:dyDescent="0.2">
      <c r="A73" s="2" t="s">
        <v>12</v>
      </c>
      <c r="B73" s="2" t="s">
        <v>70</v>
      </c>
      <c r="C73" s="20"/>
      <c r="D73" s="20"/>
      <c r="E73" s="20"/>
      <c r="F73" s="3">
        <v>803.25</v>
      </c>
      <c r="G73" s="3">
        <v>145</v>
      </c>
      <c r="H73" s="3">
        <f t="shared" si="39"/>
        <v>116471.25</v>
      </c>
      <c r="I73" s="4">
        <v>6818.46</v>
      </c>
      <c r="J73" s="4">
        <v>115</v>
      </c>
      <c r="K73" s="4">
        <f t="shared" si="40"/>
        <v>784122.9</v>
      </c>
      <c r="L73" s="6"/>
      <c r="M73" s="5">
        <f t="shared" si="41"/>
        <v>900594.15</v>
      </c>
      <c r="N73" s="5"/>
      <c r="O73" s="7">
        <f>223848+740</f>
        <v>224588</v>
      </c>
      <c r="P73" s="7">
        <f>610+3000+2600</f>
        <v>6210</v>
      </c>
      <c r="Q73" s="36"/>
      <c r="R73" s="36"/>
      <c r="S73" s="7"/>
      <c r="T73" s="7">
        <f t="shared" si="38"/>
        <v>669796.15</v>
      </c>
      <c r="U73" s="7">
        <f t="shared" si="42"/>
        <v>669796.15</v>
      </c>
      <c r="V73" s="1">
        <v>669720</v>
      </c>
      <c r="W73" s="40">
        <f t="shared" si="43"/>
        <v>76.150000000023283</v>
      </c>
    </row>
    <row r="74" spans="1:23" ht="12.75" customHeight="1" x14ac:dyDescent="0.2">
      <c r="A74" s="2" t="s">
        <v>13</v>
      </c>
      <c r="B74" s="2"/>
      <c r="C74" s="20"/>
      <c r="D74" s="20"/>
      <c r="E74" s="20"/>
      <c r="F74" s="3">
        <v>668.97</v>
      </c>
      <c r="G74" s="3">
        <v>145</v>
      </c>
      <c r="H74" s="3">
        <f t="shared" ref="H74" si="44">G74*F74</f>
        <v>97000.650000000009</v>
      </c>
      <c r="I74" s="4">
        <v>6772.13</v>
      </c>
      <c r="J74" s="4">
        <v>115</v>
      </c>
      <c r="K74" s="4">
        <f t="shared" ref="K74" si="45">J74*I74</f>
        <v>778794.95000000007</v>
      </c>
      <c r="L74" s="6"/>
      <c r="M74" s="5">
        <f t="shared" ref="M74" si="46">K74+H74+E74+L74</f>
        <v>875795.60000000009</v>
      </c>
      <c r="N74" s="5"/>
      <c r="O74" s="7">
        <v>122025</v>
      </c>
      <c r="P74" s="7">
        <f>13806+5705+1000+5000+7100+2445+1529+2319</f>
        <v>38904</v>
      </c>
      <c r="Q74" s="36"/>
      <c r="R74" s="36"/>
      <c r="S74" s="7"/>
      <c r="T74" s="7">
        <f t="shared" ref="T74" si="47">M74-O74-P74</f>
        <v>714866.60000000009</v>
      </c>
      <c r="U74" s="7">
        <f t="shared" ref="U74" si="48">M74-O74-P74-Q74-S74-R74</f>
        <v>714866.60000000009</v>
      </c>
      <c r="V74" s="1">
        <v>714830</v>
      </c>
      <c r="W74" s="40">
        <f t="shared" si="43"/>
        <v>36.600000000093132</v>
      </c>
    </row>
    <row r="75" spans="1:23" ht="12.75" customHeight="1" x14ac:dyDescent="0.2">
      <c r="A75" s="2" t="s">
        <v>14</v>
      </c>
      <c r="B75" s="2"/>
      <c r="C75" s="20"/>
      <c r="D75" s="20"/>
      <c r="E75" s="20"/>
      <c r="F75" s="3">
        <v>400.54</v>
      </c>
      <c r="G75" s="3">
        <v>145</v>
      </c>
      <c r="H75" s="3">
        <f t="shared" si="39"/>
        <v>58078.3</v>
      </c>
      <c r="I75" s="4">
        <v>7183.77</v>
      </c>
      <c r="J75" s="4">
        <v>115</v>
      </c>
      <c r="K75" s="4">
        <f t="shared" si="40"/>
        <v>826133.55</v>
      </c>
      <c r="L75" s="6"/>
      <c r="M75" s="5">
        <f t="shared" si="41"/>
        <v>884211.85000000009</v>
      </c>
      <c r="N75" s="5"/>
      <c r="O75" s="7">
        <f>6325+5175+11500+1000+11500+11500+5750+2563+1265+6000+11385+12995+2300+1725+538</f>
        <v>91521</v>
      </c>
      <c r="P75" s="7">
        <v>2000</v>
      </c>
      <c r="Q75" s="36"/>
      <c r="R75" s="36"/>
      <c r="S75" s="7"/>
      <c r="T75" s="7">
        <f t="shared" si="38"/>
        <v>790690.85000000009</v>
      </c>
      <c r="U75" s="7">
        <f t="shared" si="42"/>
        <v>790690.85000000009</v>
      </c>
      <c r="V75" s="1">
        <v>790690</v>
      </c>
      <c r="W75" s="40">
        <f t="shared" si="43"/>
        <v>0.85000000009313226</v>
      </c>
    </row>
    <row r="76" spans="1:23" ht="12.75" customHeight="1" x14ac:dyDescent="0.2">
      <c r="A76" s="2" t="s">
        <v>12</v>
      </c>
      <c r="B76" s="2" t="s">
        <v>71</v>
      </c>
      <c r="C76" s="20"/>
      <c r="D76" s="20"/>
      <c r="E76" s="20"/>
      <c r="F76" s="3">
        <v>1767.99</v>
      </c>
      <c r="G76" s="3">
        <v>145</v>
      </c>
      <c r="H76" s="3">
        <f t="shared" si="39"/>
        <v>256358.55</v>
      </c>
      <c r="I76" s="4">
        <v>6157.96</v>
      </c>
      <c r="J76" s="4">
        <v>115</v>
      </c>
      <c r="K76" s="4">
        <f t="shared" si="40"/>
        <v>708165.4</v>
      </c>
      <c r="L76" s="6">
        <f>500+69000</f>
        <v>69500</v>
      </c>
      <c r="M76" s="5">
        <f t="shared" si="41"/>
        <v>1034023.95</v>
      </c>
      <c r="N76" s="5"/>
      <c r="O76" s="7">
        <f>79256</f>
        <v>79256</v>
      </c>
      <c r="P76" s="7">
        <f>5800+6900+5800+2500+2300</f>
        <v>23300</v>
      </c>
      <c r="Q76" s="36">
        <v>44300</v>
      </c>
      <c r="R76" s="36"/>
      <c r="S76" s="7">
        <f>490290+69000</f>
        <v>559290</v>
      </c>
      <c r="T76" s="7">
        <f t="shared" si="38"/>
        <v>931467.95</v>
      </c>
      <c r="U76" s="7">
        <f t="shared" si="42"/>
        <v>327877.94999999995</v>
      </c>
      <c r="V76" s="1">
        <v>327880</v>
      </c>
      <c r="W76" s="40">
        <f t="shared" si="43"/>
        <v>-2.0500000000465661</v>
      </c>
    </row>
    <row r="77" spans="1:23" ht="12.75" customHeight="1" x14ac:dyDescent="0.2">
      <c r="A77" s="2" t="s">
        <v>13</v>
      </c>
      <c r="B77" s="2"/>
      <c r="C77" s="20"/>
      <c r="D77" s="20"/>
      <c r="E77" s="20"/>
      <c r="F77" s="3">
        <v>775.87</v>
      </c>
      <c r="G77" s="3">
        <v>145</v>
      </c>
      <c r="H77" s="3">
        <f t="shared" si="39"/>
        <v>112501.15</v>
      </c>
      <c r="I77" s="4">
        <v>5630.07</v>
      </c>
      <c r="J77" s="4">
        <v>115</v>
      </c>
      <c r="K77" s="4">
        <f t="shared" si="40"/>
        <v>647458.04999999993</v>
      </c>
      <c r="L77" s="6"/>
      <c r="M77" s="5">
        <f t="shared" si="41"/>
        <v>759959.2</v>
      </c>
      <c r="N77" s="5"/>
      <c r="O77" s="7">
        <f>575+3795+575+10925+2300+5060+12650+11500+7475+2300+3800+1000</f>
        <v>61955</v>
      </c>
      <c r="P77" s="7">
        <f>1600+1600+500+7000</f>
        <v>10700</v>
      </c>
      <c r="Q77" s="36"/>
      <c r="R77" s="36"/>
      <c r="S77" s="7"/>
      <c r="T77" s="7">
        <f t="shared" si="38"/>
        <v>687304.2</v>
      </c>
      <c r="U77" s="7">
        <f t="shared" si="42"/>
        <v>687304.2</v>
      </c>
      <c r="V77" s="8">
        <v>687270</v>
      </c>
      <c r="W77" s="40">
        <f t="shared" si="43"/>
        <v>34.199999999953434</v>
      </c>
    </row>
    <row r="78" spans="1:23" ht="12.75" customHeight="1" x14ac:dyDescent="0.2">
      <c r="A78" s="2" t="s">
        <v>14</v>
      </c>
      <c r="B78" s="2"/>
      <c r="C78" s="20"/>
      <c r="D78" s="20"/>
      <c r="E78" s="20"/>
      <c r="F78" s="3">
        <v>480.74</v>
      </c>
      <c r="G78" s="3">
        <v>145</v>
      </c>
      <c r="H78" s="3">
        <f t="shared" si="39"/>
        <v>69707.3</v>
      </c>
      <c r="I78" s="4">
        <v>8135.25</v>
      </c>
      <c r="J78" s="4">
        <v>115</v>
      </c>
      <c r="K78" s="4">
        <f t="shared" si="40"/>
        <v>935553.75</v>
      </c>
      <c r="L78" s="6">
        <f>74750+69000</f>
        <v>143750</v>
      </c>
      <c r="M78" s="5">
        <f t="shared" si="41"/>
        <v>1149011.05</v>
      </c>
      <c r="N78" s="5"/>
      <c r="O78" s="7">
        <v>138205</v>
      </c>
      <c r="P78" s="7">
        <v>696</v>
      </c>
      <c r="Q78" s="36"/>
      <c r="R78" s="36"/>
      <c r="S78" s="7">
        <v>69000</v>
      </c>
      <c r="T78" s="7">
        <f t="shared" si="38"/>
        <v>1010110.05</v>
      </c>
      <c r="U78" s="7">
        <f t="shared" si="42"/>
        <v>941110.05</v>
      </c>
      <c r="V78" s="8">
        <v>941030</v>
      </c>
      <c r="W78" s="40">
        <f t="shared" si="43"/>
        <v>80.050000000046566</v>
      </c>
    </row>
    <row r="79" spans="1:23" ht="12.75" customHeight="1" x14ac:dyDescent="0.2">
      <c r="A79" s="2" t="s">
        <v>12</v>
      </c>
      <c r="B79" s="2" t="s">
        <v>72</v>
      </c>
      <c r="C79" s="20"/>
      <c r="D79" s="20"/>
      <c r="E79" s="20"/>
      <c r="F79" s="3">
        <v>621.72</v>
      </c>
      <c r="G79" s="3">
        <v>145</v>
      </c>
      <c r="H79" s="3">
        <f t="shared" si="39"/>
        <v>90149.400000000009</v>
      </c>
      <c r="I79" s="4">
        <v>3509.48</v>
      </c>
      <c r="J79" s="4">
        <v>115</v>
      </c>
      <c r="K79" s="4">
        <f t="shared" si="40"/>
        <v>403590.2</v>
      </c>
      <c r="L79" s="6"/>
      <c r="M79" s="5">
        <f t="shared" si="41"/>
        <v>493739.60000000003</v>
      </c>
      <c r="N79" s="5"/>
      <c r="O79" s="7">
        <v>93330</v>
      </c>
      <c r="P79" s="7">
        <f>6800+10000</f>
        <v>16800</v>
      </c>
      <c r="Q79" s="36"/>
      <c r="R79" s="36"/>
      <c r="S79" s="7"/>
      <c r="T79" s="7">
        <f t="shared" si="38"/>
        <v>383609.60000000003</v>
      </c>
      <c r="U79" s="7">
        <f t="shared" si="42"/>
        <v>383609.60000000003</v>
      </c>
      <c r="V79" s="1">
        <v>383570</v>
      </c>
      <c r="W79" s="40">
        <f t="shared" si="43"/>
        <v>39.600000000034925</v>
      </c>
    </row>
    <row r="80" spans="1:23" ht="12.75" customHeight="1" x14ac:dyDescent="0.2">
      <c r="A80" s="2" t="s">
        <v>13</v>
      </c>
      <c r="B80" s="2"/>
      <c r="C80" s="20"/>
      <c r="D80" s="20"/>
      <c r="E80" s="20"/>
      <c r="F80" s="3">
        <v>948.41</v>
      </c>
      <c r="G80" s="3">
        <v>145</v>
      </c>
      <c r="H80" s="3">
        <f t="shared" si="39"/>
        <v>137519.44999999998</v>
      </c>
      <c r="I80" s="4">
        <v>7913.64</v>
      </c>
      <c r="J80" s="4">
        <v>115</v>
      </c>
      <c r="K80" s="4">
        <f t="shared" si="40"/>
        <v>910068.60000000009</v>
      </c>
      <c r="L80" s="6"/>
      <c r="M80" s="5">
        <f t="shared" si="41"/>
        <v>1047588.05</v>
      </c>
      <c r="N80" s="5"/>
      <c r="O80" s="7">
        <v>53824</v>
      </c>
      <c r="P80" s="7">
        <f>1500+800+1855+5050+2900+1520</f>
        <v>13625</v>
      </c>
      <c r="Q80" s="36"/>
      <c r="R80" s="36"/>
      <c r="S80" s="7"/>
      <c r="T80" s="7">
        <f t="shared" si="38"/>
        <v>980139.05</v>
      </c>
      <c r="U80" s="7">
        <f t="shared" si="42"/>
        <v>980139.05</v>
      </c>
      <c r="V80" s="1">
        <v>980130</v>
      </c>
      <c r="W80" s="40">
        <f t="shared" si="43"/>
        <v>9.0500000000465661</v>
      </c>
    </row>
    <row r="81" spans="1:23" ht="12.75" customHeight="1" x14ac:dyDescent="0.2">
      <c r="A81" s="2" t="s">
        <v>14</v>
      </c>
      <c r="B81" s="2"/>
      <c r="C81" s="20"/>
      <c r="D81" s="20"/>
      <c r="E81" s="20"/>
      <c r="F81" s="3"/>
      <c r="G81" s="3">
        <v>145</v>
      </c>
      <c r="H81" s="3">
        <f t="shared" si="39"/>
        <v>0</v>
      </c>
      <c r="I81" s="4"/>
      <c r="J81" s="4">
        <v>115</v>
      </c>
      <c r="K81" s="4">
        <f t="shared" si="40"/>
        <v>0</v>
      </c>
      <c r="L81" s="6"/>
      <c r="M81" s="5">
        <f t="shared" si="41"/>
        <v>0</v>
      </c>
      <c r="N81" s="5"/>
      <c r="O81" s="7"/>
      <c r="P81" s="7"/>
      <c r="Q81" s="36"/>
      <c r="R81" s="36"/>
      <c r="S81" s="7"/>
      <c r="T81" s="7">
        <f t="shared" si="38"/>
        <v>0</v>
      </c>
      <c r="U81" s="7">
        <f t="shared" si="42"/>
        <v>0</v>
      </c>
      <c r="V81" s="1"/>
      <c r="W81" s="40">
        <f t="shared" si="43"/>
        <v>0</v>
      </c>
    </row>
    <row r="82" spans="1:23" ht="12.75" customHeight="1" x14ac:dyDescent="0.2">
      <c r="A82" s="2" t="s">
        <v>12</v>
      </c>
      <c r="B82" s="2" t="s">
        <v>73</v>
      </c>
      <c r="C82" s="20"/>
      <c r="D82" s="20"/>
      <c r="E82" s="20"/>
      <c r="F82" s="3">
        <v>869.16</v>
      </c>
      <c r="G82" s="3">
        <v>145</v>
      </c>
      <c r="H82" s="3">
        <f t="shared" si="39"/>
        <v>126028.2</v>
      </c>
      <c r="I82" s="4">
        <v>5264.56</v>
      </c>
      <c r="J82" s="4">
        <v>115</v>
      </c>
      <c r="K82" s="4">
        <f t="shared" si="40"/>
        <v>605424.4</v>
      </c>
      <c r="L82" s="6">
        <v>30000</v>
      </c>
      <c r="M82" s="5">
        <f t="shared" si="41"/>
        <v>761452.6</v>
      </c>
      <c r="N82" s="5"/>
      <c r="O82" s="7">
        <f>67230+900</f>
        <v>68130</v>
      </c>
      <c r="P82" s="7">
        <f>6000+1400+2000</f>
        <v>9400</v>
      </c>
      <c r="Q82" s="36"/>
      <c r="R82" s="36"/>
      <c r="S82" s="7"/>
      <c r="T82" s="7">
        <f t="shared" si="38"/>
        <v>683922.6</v>
      </c>
      <c r="U82" s="7">
        <f t="shared" si="42"/>
        <v>683922.6</v>
      </c>
      <c r="V82" s="1">
        <v>683860</v>
      </c>
      <c r="W82" s="40">
        <f t="shared" si="43"/>
        <v>62.599999999976717</v>
      </c>
    </row>
    <row r="83" spans="1:23" ht="12.75" customHeight="1" x14ac:dyDescent="0.2">
      <c r="A83" s="2" t="s">
        <v>13</v>
      </c>
      <c r="B83" s="2"/>
      <c r="C83" s="20"/>
      <c r="D83" s="20"/>
      <c r="E83" s="20"/>
      <c r="F83" s="3">
        <v>787.02</v>
      </c>
      <c r="G83" s="3">
        <v>145</v>
      </c>
      <c r="H83" s="3">
        <f t="shared" si="39"/>
        <v>114117.9</v>
      </c>
      <c r="I83" s="4">
        <v>5155.76</v>
      </c>
      <c r="J83" s="4">
        <v>115</v>
      </c>
      <c r="K83" s="4">
        <f t="shared" si="40"/>
        <v>592912.4</v>
      </c>
      <c r="L83" s="6"/>
      <c r="M83" s="5">
        <f t="shared" si="41"/>
        <v>707030.3</v>
      </c>
      <c r="N83" s="5"/>
      <c r="O83" s="7">
        <f>3220+11500+11500+7876+11970+2300+4809</f>
        <v>53175</v>
      </c>
      <c r="P83" s="7">
        <f>5000+7899+1230+700+1180</f>
        <v>16009</v>
      </c>
      <c r="Q83" s="36"/>
      <c r="R83" s="36"/>
      <c r="S83" s="7"/>
      <c r="T83" s="7">
        <f t="shared" si="38"/>
        <v>637846.30000000005</v>
      </c>
      <c r="U83" s="7">
        <f t="shared" si="42"/>
        <v>637846.30000000005</v>
      </c>
      <c r="V83" s="1">
        <v>637800</v>
      </c>
      <c r="W83" s="40">
        <f t="shared" si="43"/>
        <v>46.300000000046566</v>
      </c>
    </row>
    <row r="84" spans="1:23" ht="12.75" customHeight="1" x14ac:dyDescent="0.2">
      <c r="A84" s="2" t="s">
        <v>14</v>
      </c>
      <c r="B84" s="2"/>
      <c r="C84" s="20"/>
      <c r="D84" s="20"/>
      <c r="E84" s="20"/>
      <c r="F84" s="3">
        <v>238.06</v>
      </c>
      <c r="G84" s="3">
        <v>145</v>
      </c>
      <c r="H84" s="3">
        <f t="shared" si="39"/>
        <v>34518.699999999997</v>
      </c>
      <c r="I84" s="4">
        <v>7453.72</v>
      </c>
      <c r="J84" s="4">
        <v>115</v>
      </c>
      <c r="K84" s="4">
        <f t="shared" si="40"/>
        <v>857177.8</v>
      </c>
      <c r="L84" s="6"/>
      <c r="M84" s="5">
        <f t="shared" si="41"/>
        <v>891696.5</v>
      </c>
      <c r="N84" s="5"/>
      <c r="O84" s="7">
        <f>1200+4830+14260+13570+13918+13570+6416+575+14260+2990+2300+13800+5750+5636+12830+8970+1150+1150+400</f>
        <v>137575</v>
      </c>
      <c r="P84" s="7">
        <v>550</v>
      </c>
      <c r="Q84" s="36">
        <v>57200</v>
      </c>
      <c r="R84" s="36"/>
      <c r="S84" s="7"/>
      <c r="T84" s="7">
        <f t="shared" si="38"/>
        <v>753571.5</v>
      </c>
      <c r="U84" s="7">
        <f t="shared" si="42"/>
        <v>696371.5</v>
      </c>
      <c r="V84" s="1">
        <v>696345</v>
      </c>
      <c r="W84" s="40">
        <f t="shared" si="43"/>
        <v>26.5</v>
      </c>
    </row>
    <row r="85" spans="1:23" ht="12.75" customHeight="1" x14ac:dyDescent="0.2">
      <c r="A85" s="2" t="s">
        <v>12</v>
      </c>
      <c r="B85" s="2" t="s">
        <v>74</v>
      </c>
      <c r="C85" s="20"/>
      <c r="D85" s="20"/>
      <c r="E85" s="20"/>
      <c r="F85" s="3">
        <v>997.94</v>
      </c>
      <c r="G85" s="3">
        <v>145</v>
      </c>
      <c r="H85" s="3">
        <f t="shared" si="39"/>
        <v>144701.30000000002</v>
      </c>
      <c r="I85" s="4">
        <v>6620.2</v>
      </c>
      <c r="J85" s="4">
        <v>115</v>
      </c>
      <c r="K85" s="4">
        <f t="shared" si="40"/>
        <v>761323</v>
      </c>
      <c r="L85" s="6">
        <f>2175+900</f>
        <v>3075</v>
      </c>
      <c r="M85" s="5">
        <f t="shared" si="41"/>
        <v>909099.3</v>
      </c>
      <c r="N85" s="5"/>
      <c r="O85" s="7">
        <v>104174</v>
      </c>
      <c r="P85" s="7">
        <f>1000+6000+6625+7375+3205+1220+5000</f>
        <v>30425</v>
      </c>
      <c r="Q85" s="36"/>
      <c r="R85" s="36"/>
      <c r="S85" s="7">
        <v>497000</v>
      </c>
      <c r="T85" s="7">
        <f t="shared" si="38"/>
        <v>774500.3</v>
      </c>
      <c r="U85" s="7">
        <f t="shared" si="42"/>
        <v>277500.30000000005</v>
      </c>
      <c r="V85" s="1">
        <v>277470</v>
      </c>
      <c r="W85" s="40">
        <f t="shared" si="43"/>
        <v>30.300000000046566</v>
      </c>
    </row>
    <row r="86" spans="1:23" ht="12.75" customHeight="1" x14ac:dyDescent="0.2">
      <c r="A86" s="2" t="s">
        <v>13</v>
      </c>
      <c r="B86" s="2"/>
      <c r="C86" s="20"/>
      <c r="D86" s="20"/>
      <c r="E86" s="20"/>
      <c r="F86" s="3">
        <v>728.25</v>
      </c>
      <c r="G86" s="3">
        <v>145</v>
      </c>
      <c r="H86" s="3">
        <f t="shared" si="39"/>
        <v>105596.25</v>
      </c>
      <c r="I86" s="4">
        <v>5807.14</v>
      </c>
      <c r="J86" s="4">
        <v>115</v>
      </c>
      <c r="K86" s="4">
        <f t="shared" si="40"/>
        <v>667821.10000000009</v>
      </c>
      <c r="L86" s="6"/>
      <c r="M86" s="5">
        <f t="shared" si="41"/>
        <v>773417.35000000009</v>
      </c>
      <c r="N86" s="5"/>
      <c r="O86" s="7">
        <f>46733+1025</f>
        <v>47758</v>
      </c>
      <c r="P86" s="7">
        <f>3000+1500</f>
        <v>4500</v>
      </c>
      <c r="Q86" s="36">
        <v>40000</v>
      </c>
      <c r="R86" s="36"/>
      <c r="S86" s="7"/>
      <c r="T86" s="7">
        <f t="shared" si="38"/>
        <v>721159.35000000009</v>
      </c>
      <c r="U86" s="7">
        <f t="shared" si="42"/>
        <v>681159.35000000009</v>
      </c>
      <c r="V86" s="1">
        <v>681120</v>
      </c>
      <c r="W86" s="40">
        <f t="shared" si="43"/>
        <v>39.350000000093132</v>
      </c>
    </row>
    <row r="87" spans="1:23" ht="12.75" customHeight="1" x14ac:dyDescent="0.2">
      <c r="A87" s="2" t="s">
        <v>14</v>
      </c>
      <c r="B87" s="2"/>
      <c r="C87" s="20"/>
      <c r="D87" s="20"/>
      <c r="E87" s="20"/>
      <c r="F87" s="3">
        <v>478.02</v>
      </c>
      <c r="G87" s="3">
        <v>145</v>
      </c>
      <c r="H87" s="3">
        <f t="shared" si="39"/>
        <v>69312.899999999994</v>
      </c>
      <c r="I87" s="4">
        <v>7021.32</v>
      </c>
      <c r="J87" s="4">
        <v>115</v>
      </c>
      <c r="K87" s="4">
        <f t="shared" si="40"/>
        <v>807451.79999999993</v>
      </c>
      <c r="L87" s="6"/>
      <c r="M87" s="5">
        <f t="shared" si="41"/>
        <v>876764.7</v>
      </c>
      <c r="N87" s="5"/>
      <c r="O87" s="7">
        <v>143156</v>
      </c>
      <c r="P87" s="7"/>
      <c r="Q87" s="36"/>
      <c r="R87" s="36"/>
      <c r="S87" s="7"/>
      <c r="T87" s="7">
        <f t="shared" si="38"/>
        <v>733608.7</v>
      </c>
      <c r="U87" s="7">
        <f t="shared" si="42"/>
        <v>733608.7</v>
      </c>
      <c r="V87" s="1">
        <v>733610</v>
      </c>
      <c r="W87" s="40">
        <f t="shared" si="43"/>
        <v>-1.3000000000465661</v>
      </c>
    </row>
    <row r="88" spans="1:23" ht="12.75" customHeight="1" x14ac:dyDescent="0.2">
      <c r="A88" s="2" t="s">
        <v>12</v>
      </c>
      <c r="B88" s="2" t="s">
        <v>75</v>
      </c>
      <c r="C88" s="20"/>
      <c r="D88" s="20"/>
      <c r="E88" s="20"/>
      <c r="F88" s="3">
        <v>170.67</v>
      </c>
      <c r="G88" s="3">
        <v>145</v>
      </c>
      <c r="H88" s="3">
        <f t="shared" si="39"/>
        <v>24747.149999999998</v>
      </c>
      <c r="I88" s="4">
        <v>6919.76</v>
      </c>
      <c r="J88" s="4">
        <v>115</v>
      </c>
      <c r="K88" s="4">
        <f t="shared" si="40"/>
        <v>795772.4</v>
      </c>
      <c r="L88" s="6"/>
      <c r="M88" s="5">
        <f t="shared" si="41"/>
        <v>820519.55</v>
      </c>
      <c r="N88" s="5"/>
      <c r="O88" s="7">
        <f>1725+575+13570+92000+5953+3565+2300+1150+1150+2185+3100+4600+1884+5750+7130+11500+1150+3000+80+900</f>
        <v>163267</v>
      </c>
      <c r="P88" s="7">
        <f>2000+5000</f>
        <v>7000</v>
      </c>
      <c r="Q88" s="36"/>
      <c r="R88" s="36"/>
      <c r="S88" s="7">
        <v>312650</v>
      </c>
      <c r="T88" s="7">
        <f t="shared" si="38"/>
        <v>650252.55000000005</v>
      </c>
      <c r="U88" s="7">
        <f t="shared" si="42"/>
        <v>337602.55000000005</v>
      </c>
      <c r="V88" s="8">
        <v>337530</v>
      </c>
      <c r="W88" s="40">
        <f t="shared" si="43"/>
        <v>72.550000000046566</v>
      </c>
    </row>
    <row r="89" spans="1:23" ht="12.75" customHeight="1" x14ac:dyDescent="0.2">
      <c r="A89" s="2" t="s">
        <v>13</v>
      </c>
      <c r="C89" s="20"/>
      <c r="D89" s="20"/>
      <c r="E89" s="20"/>
      <c r="F89" s="3">
        <v>1860.09</v>
      </c>
      <c r="G89" s="3">
        <v>145</v>
      </c>
      <c r="H89" s="3">
        <f t="shared" ref="H89" si="49">G89*F89</f>
        <v>269713.05</v>
      </c>
      <c r="I89" s="4">
        <v>4875.83</v>
      </c>
      <c r="J89" s="4">
        <v>115</v>
      </c>
      <c r="K89" s="4">
        <f t="shared" ref="K89" si="50">J89*I89</f>
        <v>560720.44999999995</v>
      </c>
      <c r="L89" s="6"/>
      <c r="M89" s="5">
        <f t="shared" ref="M89" si="51">K89+H89+E89+L89</f>
        <v>830433.5</v>
      </c>
      <c r="N89" s="5"/>
      <c r="O89" s="7">
        <f>6308+2300+2300+2300+1150+11500+5405+12970+3450+1725</f>
        <v>49408</v>
      </c>
      <c r="P89" s="7">
        <f>1000+200+1450+1000+1700</f>
        <v>5350</v>
      </c>
      <c r="Q89" s="36"/>
      <c r="R89" s="36"/>
      <c r="S89" s="7"/>
      <c r="T89" s="7">
        <f t="shared" ref="T89" si="52">M89-O89-P89</f>
        <v>775675.5</v>
      </c>
      <c r="U89" s="7">
        <f t="shared" ref="U89" si="53">M89-O89-P89-Q89-S89-R89</f>
        <v>775675.5</v>
      </c>
      <c r="V89" s="8">
        <v>775620</v>
      </c>
      <c r="W89" s="40">
        <f t="shared" si="43"/>
        <v>55.5</v>
      </c>
    </row>
    <row r="90" spans="1:23" ht="12.75" customHeight="1" x14ac:dyDescent="0.2">
      <c r="A90" s="2" t="s">
        <v>14</v>
      </c>
      <c r="B90" s="2"/>
      <c r="C90" s="20"/>
      <c r="D90" s="20"/>
      <c r="E90" s="20"/>
      <c r="F90" s="3">
        <v>286.95</v>
      </c>
      <c r="G90" s="3">
        <v>145</v>
      </c>
      <c r="H90" s="3">
        <f t="shared" si="39"/>
        <v>41607.75</v>
      </c>
      <c r="I90" s="4">
        <v>7736.55</v>
      </c>
      <c r="J90" s="4">
        <v>115</v>
      </c>
      <c r="K90" s="4">
        <f t="shared" si="40"/>
        <v>889703.25</v>
      </c>
      <c r="L90" s="6"/>
      <c r="M90" s="5">
        <f t="shared" si="41"/>
        <v>931311</v>
      </c>
      <c r="N90" s="5"/>
      <c r="O90" s="7">
        <f>9940+13915+1500+1000+19550+3335+13570+4030+2300</f>
        <v>69140</v>
      </c>
      <c r="P90" s="7"/>
      <c r="Q90" s="36"/>
      <c r="R90" s="36"/>
      <c r="S90" s="7"/>
      <c r="T90" s="7">
        <f t="shared" si="38"/>
        <v>862171</v>
      </c>
      <c r="U90" s="7">
        <f t="shared" si="42"/>
        <v>862171</v>
      </c>
      <c r="V90" s="1">
        <v>862170</v>
      </c>
      <c r="W90" s="40">
        <f t="shared" si="43"/>
        <v>1</v>
      </c>
    </row>
    <row r="91" spans="1:23" ht="12.75" customHeight="1" x14ac:dyDescent="0.2">
      <c r="A91" s="2" t="s">
        <v>12</v>
      </c>
      <c r="B91" s="2" t="s">
        <v>76</v>
      </c>
      <c r="C91" s="20"/>
      <c r="D91" s="20"/>
      <c r="E91" s="20"/>
      <c r="F91" s="3">
        <v>973.63</v>
      </c>
      <c r="G91" s="3">
        <v>145</v>
      </c>
      <c r="H91" s="3">
        <f t="shared" si="39"/>
        <v>141176.35</v>
      </c>
      <c r="I91" s="4">
        <v>5963.87</v>
      </c>
      <c r="J91" s="4">
        <v>115</v>
      </c>
      <c r="K91" s="4">
        <f t="shared" si="40"/>
        <v>685845.04999999993</v>
      </c>
      <c r="L91" s="6"/>
      <c r="M91" s="5">
        <f t="shared" si="41"/>
        <v>827021.39999999991</v>
      </c>
      <c r="N91" s="5"/>
      <c r="O91" s="7">
        <f>126425+5750</f>
        <v>132175</v>
      </c>
      <c r="P91" s="7">
        <f>6000+3114+35125+7600+6600+1000</f>
        <v>59439</v>
      </c>
      <c r="Q91" s="36"/>
      <c r="R91" s="36"/>
      <c r="S91" s="7">
        <v>315680</v>
      </c>
      <c r="T91" s="7">
        <f t="shared" si="38"/>
        <v>635407.39999999991</v>
      </c>
      <c r="U91" s="7">
        <f t="shared" si="42"/>
        <v>319727.39999999991</v>
      </c>
      <c r="V91" s="1">
        <v>319710</v>
      </c>
      <c r="W91" s="40">
        <f t="shared" si="43"/>
        <v>17.399999999906868</v>
      </c>
    </row>
    <row r="92" spans="1:23" ht="12.75" customHeight="1" x14ac:dyDescent="0.2">
      <c r="A92" s="2" t="s">
        <v>13</v>
      </c>
      <c r="B92" s="2"/>
      <c r="C92" s="20"/>
      <c r="D92" s="20"/>
      <c r="E92" s="20"/>
      <c r="F92" s="3">
        <v>864.81</v>
      </c>
      <c r="G92" s="3">
        <v>145</v>
      </c>
      <c r="H92" s="3">
        <f t="shared" si="39"/>
        <v>125397.45</v>
      </c>
      <c r="I92" s="4">
        <v>7017.19</v>
      </c>
      <c r="J92" s="4">
        <v>115</v>
      </c>
      <c r="K92" s="4">
        <f t="shared" si="40"/>
        <v>806976.85</v>
      </c>
      <c r="L92" s="6">
        <v>1000</v>
      </c>
      <c r="M92" s="5">
        <f t="shared" si="41"/>
        <v>933374.29999999993</v>
      </c>
      <c r="N92" s="5"/>
      <c r="O92" s="7">
        <v>186075</v>
      </c>
      <c r="P92" s="7">
        <f>1500+1010+300+4390+9200+630+5750</f>
        <v>22780</v>
      </c>
      <c r="Q92" s="51">
        <v>70500</v>
      </c>
      <c r="R92" s="36"/>
      <c r="S92" s="7">
        <v>165000</v>
      </c>
      <c r="T92" s="7">
        <f t="shared" si="38"/>
        <v>724519.29999999993</v>
      </c>
      <c r="U92" s="7">
        <f t="shared" si="42"/>
        <v>489019.29999999993</v>
      </c>
      <c r="V92" s="1">
        <v>489000</v>
      </c>
      <c r="W92" s="40">
        <f t="shared" si="43"/>
        <v>19.299999999930151</v>
      </c>
    </row>
    <row r="93" spans="1:23" ht="12.75" customHeight="1" x14ac:dyDescent="0.2">
      <c r="A93" s="2" t="s">
        <v>14</v>
      </c>
      <c r="B93" s="2"/>
      <c r="C93" s="20"/>
      <c r="D93" s="20"/>
      <c r="E93" s="20"/>
      <c r="F93" s="3">
        <v>302.51</v>
      </c>
      <c r="G93" s="3">
        <v>145</v>
      </c>
      <c r="H93" s="3">
        <f t="shared" si="39"/>
        <v>43863.95</v>
      </c>
      <c r="I93" s="4">
        <v>8112.89</v>
      </c>
      <c r="J93" s="4">
        <v>115</v>
      </c>
      <c r="K93" s="4">
        <f t="shared" si="40"/>
        <v>932982.35000000009</v>
      </c>
      <c r="L93" s="6"/>
      <c r="M93" s="5">
        <f t="shared" si="41"/>
        <v>976846.3</v>
      </c>
      <c r="N93" s="5"/>
      <c r="O93" s="7">
        <v>55235</v>
      </c>
      <c r="P93" s="7">
        <f>2000+6120+500+6900+450</f>
        <v>15970</v>
      </c>
      <c r="Q93" s="36">
        <v>77840</v>
      </c>
      <c r="R93" s="36"/>
      <c r="S93" s="7"/>
      <c r="T93" s="7">
        <f t="shared" si="38"/>
        <v>905641.3</v>
      </c>
      <c r="U93" s="7">
        <f t="shared" si="42"/>
        <v>827801.3</v>
      </c>
      <c r="V93" s="1">
        <v>827802</v>
      </c>
      <c r="W93" s="40">
        <f t="shared" si="43"/>
        <v>-0.69999999995343387</v>
      </c>
    </row>
    <row r="94" spans="1:23" ht="12.75" customHeight="1" x14ac:dyDescent="0.2">
      <c r="A94" s="2" t="s">
        <v>12</v>
      </c>
      <c r="B94" s="45" t="s">
        <v>77</v>
      </c>
      <c r="C94" s="20"/>
      <c r="D94" s="20"/>
      <c r="E94" s="20"/>
      <c r="F94" s="3"/>
      <c r="G94" s="3">
        <v>145</v>
      </c>
      <c r="H94" s="3">
        <f t="shared" si="39"/>
        <v>0</v>
      </c>
      <c r="I94" s="4"/>
      <c r="J94" s="4">
        <v>115</v>
      </c>
      <c r="K94" s="4">
        <f t="shared" si="40"/>
        <v>0</v>
      </c>
      <c r="L94" s="6"/>
      <c r="M94" s="5">
        <f t="shared" si="41"/>
        <v>0</v>
      </c>
      <c r="N94" s="5"/>
      <c r="O94" s="7"/>
      <c r="P94" s="7"/>
      <c r="Q94" s="36"/>
      <c r="R94" s="36"/>
      <c r="S94" s="7"/>
      <c r="T94" s="7">
        <f t="shared" si="38"/>
        <v>0</v>
      </c>
      <c r="U94" s="7">
        <f t="shared" si="42"/>
        <v>0</v>
      </c>
      <c r="V94" s="1"/>
      <c r="W94" s="40">
        <f t="shared" si="43"/>
        <v>0</v>
      </c>
    </row>
    <row r="95" spans="1:23" ht="12.75" customHeight="1" x14ac:dyDescent="0.2">
      <c r="A95" s="2" t="s">
        <v>13</v>
      </c>
      <c r="B95" s="2"/>
      <c r="C95" s="20"/>
      <c r="D95" s="20"/>
      <c r="E95" s="20"/>
      <c r="F95" s="3"/>
      <c r="G95" s="3">
        <v>145</v>
      </c>
      <c r="H95" s="3">
        <f t="shared" si="39"/>
        <v>0</v>
      </c>
      <c r="I95" s="4"/>
      <c r="J95" s="4">
        <v>115</v>
      </c>
      <c r="K95" s="4">
        <f t="shared" si="40"/>
        <v>0</v>
      </c>
      <c r="L95" s="6"/>
      <c r="M95" s="5">
        <f t="shared" si="41"/>
        <v>0</v>
      </c>
      <c r="N95" s="5"/>
      <c r="O95" s="7"/>
      <c r="P95" s="7"/>
      <c r="Q95" s="36"/>
      <c r="R95" s="36"/>
      <c r="S95" s="7"/>
      <c r="T95" s="7">
        <f t="shared" si="38"/>
        <v>0</v>
      </c>
      <c r="U95" s="7">
        <f t="shared" si="42"/>
        <v>0</v>
      </c>
      <c r="V95" s="1"/>
      <c r="W95" s="40">
        <f t="shared" si="43"/>
        <v>0</v>
      </c>
    </row>
    <row r="96" spans="1:23" ht="12.75" customHeight="1" x14ac:dyDescent="0.2">
      <c r="A96" s="2" t="s">
        <v>14</v>
      </c>
      <c r="B96" s="2"/>
      <c r="C96" s="20"/>
      <c r="D96" s="20"/>
      <c r="E96" s="20"/>
      <c r="F96" s="3"/>
      <c r="G96" s="3">
        <v>145</v>
      </c>
      <c r="H96" s="3">
        <f t="shared" si="39"/>
        <v>0</v>
      </c>
      <c r="I96" s="4"/>
      <c r="J96" s="4">
        <v>115</v>
      </c>
      <c r="K96" s="4">
        <f t="shared" si="40"/>
        <v>0</v>
      </c>
      <c r="L96" s="6"/>
      <c r="M96" s="5">
        <f t="shared" si="41"/>
        <v>0</v>
      </c>
      <c r="N96" s="5"/>
      <c r="O96" s="7"/>
      <c r="P96" s="7"/>
      <c r="Q96" s="7"/>
      <c r="R96" s="7"/>
      <c r="S96" s="7"/>
      <c r="T96" s="7">
        <f t="shared" si="38"/>
        <v>0</v>
      </c>
      <c r="U96" s="7">
        <f t="shared" si="42"/>
        <v>0</v>
      </c>
      <c r="V96" s="1"/>
      <c r="W96" s="40">
        <f t="shared" si="43"/>
        <v>0</v>
      </c>
    </row>
    <row r="97" spans="1:23" ht="18.75" customHeight="1" x14ac:dyDescent="0.25">
      <c r="A97" s="2"/>
      <c r="B97" s="10" t="s">
        <v>15</v>
      </c>
      <c r="C97" s="11"/>
      <c r="D97" s="11"/>
      <c r="E97" s="11"/>
      <c r="F97" s="12">
        <f>SUM(F4:F96)</f>
        <v>60393.110000000008</v>
      </c>
      <c r="G97" s="19"/>
      <c r="H97" s="19"/>
      <c r="I97" s="12">
        <f>SUM(I4:I96)</f>
        <v>557209.21</v>
      </c>
      <c r="J97" s="19"/>
      <c r="K97" s="19"/>
      <c r="L97" s="22"/>
      <c r="M97" s="5">
        <f t="shared" si="41"/>
        <v>0</v>
      </c>
      <c r="N97" s="37"/>
      <c r="O97" s="24"/>
      <c r="P97" s="19"/>
      <c r="Q97" s="12">
        <f t="shared" ref="Q97:U97" si="54">SUM(Q4:Q96)</f>
        <v>1016755</v>
      </c>
      <c r="R97" s="12">
        <f t="shared" si="54"/>
        <v>147000</v>
      </c>
      <c r="S97" s="12">
        <f t="shared" si="54"/>
        <v>5717580</v>
      </c>
      <c r="T97" s="13">
        <f t="shared" si="54"/>
        <v>63671726.310000002</v>
      </c>
      <c r="U97" s="14">
        <f t="shared" si="54"/>
        <v>56790391.310000002</v>
      </c>
      <c r="W97" s="49">
        <f>SUM(W4:W96)</f>
        <v>3050.3100000005797</v>
      </c>
    </row>
    <row r="98" spans="1:23" ht="18.75" customHeight="1" x14ac:dyDescent="0.25">
      <c r="A98" s="54" t="s">
        <v>16</v>
      </c>
      <c r="B98" s="55"/>
      <c r="C98" s="15"/>
      <c r="D98" s="15"/>
      <c r="E98" s="15"/>
      <c r="F98" s="16">
        <f>SUM(F97*140)</f>
        <v>8455035.4000000004</v>
      </c>
      <c r="G98" s="16"/>
      <c r="H98" s="16"/>
      <c r="I98" s="16">
        <f>SUM(I97*115)</f>
        <v>64079059.149999999</v>
      </c>
      <c r="J98" s="16"/>
      <c r="K98" s="16"/>
      <c r="L98" s="23">
        <f>SUM(L4:L96)</f>
        <v>1062065</v>
      </c>
      <c r="M98" s="26">
        <f>SUM(M4:M97)</f>
        <v>73898125.099999994</v>
      </c>
      <c r="N98" s="38"/>
      <c r="O98" s="25">
        <f>SUM(O4:O97)</f>
        <v>8729960.7899999991</v>
      </c>
      <c r="P98" s="25">
        <f>SUM(P4:P96)</f>
        <v>1496438</v>
      </c>
      <c r="Q98" s="25">
        <f>SUM(Q4:Q96)</f>
        <v>1016755</v>
      </c>
      <c r="R98" s="25"/>
      <c r="S98" s="17" t="s">
        <v>17</v>
      </c>
      <c r="T98" s="18">
        <f>SUM(T97-S97)</f>
        <v>57954146.310000002</v>
      </c>
      <c r="U98" s="8"/>
    </row>
    <row r="99" spans="1:23" ht="12.75" customHeight="1" x14ac:dyDescent="0.2">
      <c r="B99" s="1"/>
      <c r="C99" s="1"/>
      <c r="D99" s="1"/>
      <c r="E99" s="1"/>
      <c r="F99" s="8"/>
      <c r="G99" s="8"/>
      <c r="H99" s="8"/>
      <c r="I99" s="8"/>
      <c r="J99" s="8"/>
      <c r="K99" s="8"/>
      <c r="L99" s="8"/>
      <c r="M99" s="21"/>
      <c r="N99" s="21"/>
      <c r="O99" s="8"/>
      <c r="P99" s="8"/>
      <c r="Q99" s="8"/>
      <c r="R99" s="8"/>
      <c r="S99" s="8"/>
      <c r="T99" s="8"/>
      <c r="U99" s="8"/>
    </row>
    <row r="100" spans="1:23" ht="12.75" customHeight="1" x14ac:dyDescent="0.2"/>
    <row r="101" spans="1:23" ht="12.75" customHeight="1" x14ac:dyDescent="0.2">
      <c r="F101" s="40"/>
      <c r="H101" s="40"/>
    </row>
    <row r="102" spans="1:23" ht="15" customHeight="1" x14ac:dyDescent="0.3">
      <c r="F102" s="40"/>
      <c r="I102" s="52" t="s">
        <v>30</v>
      </c>
      <c r="J102" s="52"/>
      <c r="K102" s="52"/>
      <c r="M102" s="52" t="s">
        <v>31</v>
      </c>
      <c r="N102" s="52"/>
      <c r="O102" s="52"/>
      <c r="P102" s="41"/>
      <c r="Q102" s="52" t="s">
        <v>32</v>
      </c>
      <c r="R102" s="52"/>
      <c r="T102" s="53"/>
      <c r="U102" s="53"/>
    </row>
    <row r="103" spans="1:23" ht="15" customHeight="1" x14ac:dyDescent="0.2">
      <c r="I103" s="27" t="s">
        <v>33</v>
      </c>
      <c r="J103" s="27"/>
      <c r="K103" s="27" t="s">
        <v>7</v>
      </c>
      <c r="M103" s="27" t="s">
        <v>19</v>
      </c>
      <c r="N103" s="27">
        <v>450</v>
      </c>
      <c r="O103" s="39">
        <f>N103*138.1</f>
        <v>62145</v>
      </c>
      <c r="P103" s="42"/>
      <c r="Q103" s="27" t="s">
        <v>19</v>
      </c>
      <c r="R103" s="39">
        <f>F97*5.75</f>
        <v>347260.38250000007</v>
      </c>
      <c r="T103" s="41"/>
      <c r="U103" s="43"/>
    </row>
    <row r="104" spans="1:23" ht="15" customHeight="1" x14ac:dyDescent="0.2">
      <c r="I104" s="27" t="s">
        <v>34</v>
      </c>
      <c r="J104" s="27"/>
      <c r="K104" s="39">
        <v>507750</v>
      </c>
      <c r="M104" s="27" t="s">
        <v>20</v>
      </c>
      <c r="N104" s="27">
        <v>1200</v>
      </c>
      <c r="O104" s="39">
        <f>N104*110.85</f>
        <v>133020</v>
      </c>
      <c r="P104" s="42"/>
      <c r="Q104" s="27" t="s">
        <v>20</v>
      </c>
      <c r="R104" s="39">
        <f>I97*4.15</f>
        <v>2312418.2215</v>
      </c>
      <c r="T104" s="41"/>
      <c r="U104" s="43"/>
    </row>
    <row r="105" spans="1:23" ht="15" customHeight="1" x14ac:dyDescent="0.2">
      <c r="I105" s="27" t="s">
        <v>35</v>
      </c>
      <c r="J105" s="27"/>
      <c r="K105" s="39">
        <v>70500</v>
      </c>
      <c r="M105" s="27" t="s">
        <v>21</v>
      </c>
      <c r="N105" s="27"/>
      <c r="O105" s="39">
        <f>SUM(O103:O104)</f>
        <v>195165</v>
      </c>
      <c r="P105" s="43"/>
      <c r="Q105" s="27" t="s">
        <v>36</v>
      </c>
      <c r="R105" s="39">
        <f>O105</f>
        <v>195165</v>
      </c>
      <c r="T105" s="41"/>
      <c r="U105" s="43"/>
    </row>
    <row r="106" spans="1:23" ht="1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7" t="s">
        <v>37</v>
      </c>
      <c r="J106" s="27"/>
      <c r="K106" s="39">
        <v>65205</v>
      </c>
      <c r="Q106" s="27"/>
      <c r="R106" s="39"/>
      <c r="T106" s="41"/>
      <c r="U106" s="43"/>
    </row>
    <row r="107" spans="1:23" ht="1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7" t="s">
        <v>43</v>
      </c>
      <c r="J107" s="27"/>
      <c r="K107" s="39">
        <f>Q97-135000-70500</f>
        <v>811255</v>
      </c>
      <c r="Q107" s="27" t="s">
        <v>38</v>
      </c>
      <c r="R107" s="39">
        <f>SUM(R103:R105)</f>
        <v>2854843.6040000003</v>
      </c>
      <c r="T107" s="41"/>
      <c r="U107" s="43"/>
    </row>
    <row r="108" spans="1:23" ht="1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7" t="s">
        <v>47</v>
      </c>
      <c r="J108" s="27"/>
      <c r="K108" s="39"/>
      <c r="Q108" s="41"/>
      <c r="R108" s="43"/>
      <c r="T108" s="41"/>
      <c r="U108" s="43"/>
    </row>
    <row r="109" spans="1:23" ht="1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7" t="s">
        <v>39</v>
      </c>
      <c r="J109" s="27"/>
      <c r="K109" s="39">
        <f>SUM(K104:K108)</f>
        <v>1454710</v>
      </c>
      <c r="T109" s="41"/>
      <c r="U109" s="41"/>
    </row>
    <row r="110" spans="1:23" ht="15" customHeight="1" x14ac:dyDescent="0.3">
      <c r="A110" s="46"/>
      <c r="B110" s="46"/>
      <c r="C110" s="46"/>
      <c r="D110" s="46"/>
      <c r="E110" s="46"/>
      <c r="F110" s="46"/>
      <c r="G110" s="46"/>
      <c r="H110" s="46"/>
      <c r="I110" s="46"/>
      <c r="M110" s="52" t="s">
        <v>40</v>
      </c>
      <c r="N110" s="52"/>
      <c r="O110" s="52"/>
      <c r="Q110" s="59" t="s">
        <v>22</v>
      </c>
      <c r="R110" s="60"/>
      <c r="T110" s="53"/>
      <c r="U110" s="53"/>
    </row>
    <row r="111" spans="1:23" ht="15" customHeight="1" x14ac:dyDescent="0.2">
      <c r="A111" s="46"/>
      <c r="B111" s="48"/>
      <c r="C111" s="48"/>
      <c r="D111" s="48"/>
      <c r="E111" s="48"/>
      <c r="F111" s="48"/>
      <c r="G111" s="48"/>
      <c r="H111" s="48"/>
      <c r="I111" s="48"/>
      <c r="M111" s="27" t="s">
        <v>41</v>
      </c>
      <c r="N111" s="27"/>
      <c r="O111" s="39">
        <f>R107</f>
        <v>2854843.6040000003</v>
      </c>
      <c r="Q111" s="28" t="s">
        <v>18</v>
      </c>
      <c r="R111" s="39">
        <f>O113</f>
        <v>1400133.6040000003</v>
      </c>
      <c r="T111" s="44"/>
      <c r="U111" s="43"/>
    </row>
    <row r="112" spans="1:23" ht="15" customHeight="1" x14ac:dyDescent="0.2">
      <c r="A112" s="46"/>
      <c r="B112" s="48"/>
      <c r="C112" s="48"/>
      <c r="D112" s="48"/>
      <c r="E112" s="48"/>
      <c r="F112" s="48"/>
      <c r="G112" s="48"/>
      <c r="H112" s="48"/>
      <c r="I112" s="48"/>
      <c r="M112" s="27" t="s">
        <v>30</v>
      </c>
      <c r="N112" s="27"/>
      <c r="O112" s="39">
        <f>K109</f>
        <v>1454710</v>
      </c>
      <c r="Q112" s="28" t="s">
        <v>42</v>
      </c>
      <c r="R112" s="39">
        <f>R97</f>
        <v>147000</v>
      </c>
      <c r="T112" s="44"/>
      <c r="U112" s="43"/>
    </row>
    <row r="113" spans="1:21" ht="15" customHeight="1" x14ac:dyDescent="0.2">
      <c r="A113" s="46"/>
      <c r="B113" s="48"/>
      <c r="C113" s="48"/>
      <c r="D113" s="48"/>
      <c r="E113" s="48"/>
      <c r="F113" s="48"/>
      <c r="G113" s="48"/>
      <c r="H113" s="48"/>
      <c r="I113" s="48"/>
      <c r="M113" s="27" t="s">
        <v>18</v>
      </c>
      <c r="N113" s="27"/>
      <c r="O113" s="39">
        <f>O111-O112</f>
        <v>1400133.6040000003</v>
      </c>
      <c r="Q113" s="27" t="s">
        <v>22</v>
      </c>
      <c r="R113" s="39">
        <f>R111-R112</f>
        <v>1253133.6040000003</v>
      </c>
      <c r="T113" s="41"/>
      <c r="U113" s="43"/>
    </row>
    <row r="114" spans="1:21" ht="15" customHeight="1" x14ac:dyDescent="0.2">
      <c r="A114" s="46"/>
      <c r="B114" s="48"/>
      <c r="C114" s="48"/>
      <c r="D114" s="48"/>
      <c r="E114" s="48"/>
      <c r="F114" s="48"/>
      <c r="G114" s="48"/>
      <c r="H114" s="48"/>
      <c r="I114" s="48"/>
    </row>
    <row r="115" spans="1:21" ht="15" customHeight="1" x14ac:dyDescent="0.2">
      <c r="A115" s="46"/>
      <c r="B115" s="48"/>
      <c r="C115" s="48"/>
      <c r="D115" s="48"/>
      <c r="E115" s="48"/>
      <c r="F115" s="48"/>
      <c r="G115" s="48"/>
      <c r="H115" s="48"/>
      <c r="I115" s="48"/>
    </row>
    <row r="116" spans="1:21" ht="15" customHeight="1" x14ac:dyDescent="0.2">
      <c r="A116" s="46"/>
      <c r="B116" s="48"/>
      <c r="C116" s="48"/>
      <c r="D116" s="48"/>
      <c r="E116" s="48"/>
      <c r="F116" s="48"/>
      <c r="G116" s="48"/>
      <c r="H116" s="48"/>
      <c r="I116" s="48"/>
      <c r="K116" s="40"/>
    </row>
    <row r="117" spans="1:21" ht="1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</row>
    <row r="118" spans="1:21" ht="1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</row>
    <row r="119" spans="1:21" ht="1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</row>
    <row r="120" spans="1:21" ht="1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</row>
    <row r="121" spans="1:21" ht="1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</row>
    <row r="122" spans="1:21" ht="1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</row>
    <row r="123" spans="1:21" ht="1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</row>
    <row r="124" spans="1:21" ht="1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</row>
    <row r="125" spans="1:21" ht="1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</row>
    <row r="126" spans="1:21" ht="1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</row>
    <row r="127" spans="1:21" ht="1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</row>
    <row r="128" spans="1:21" ht="1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</row>
    <row r="129" spans="1:9" ht="1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</row>
    <row r="130" spans="1:9" ht="1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</row>
  </sheetData>
  <mergeCells count="10">
    <mergeCell ref="M110:O110"/>
    <mergeCell ref="T110:U110"/>
    <mergeCell ref="A98:B98"/>
    <mergeCell ref="A1:U1"/>
    <mergeCell ref="A2:U2"/>
    <mergeCell ref="I102:K102"/>
    <mergeCell ref="M102:O102"/>
    <mergeCell ref="T102:U102"/>
    <mergeCell ref="Q102:R102"/>
    <mergeCell ref="Q110:R110"/>
  </mergeCells>
  <pageMargins left="0.5" right="0.5" top="1" bottom="0.99" header="0" footer="0"/>
  <pageSetup paperSize="9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>EWFS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m rezaul karim</dc:creator>
  <cp:lastModifiedBy>Windows 10</cp:lastModifiedBy>
  <cp:lastPrinted>2026-01-21T04:05:53Z</cp:lastPrinted>
  <dcterms:created xsi:type="dcterms:W3CDTF">2008-12-31T18:05:54Z</dcterms:created>
  <dcterms:modified xsi:type="dcterms:W3CDTF">2026-07-01T05:26:17Z</dcterms:modified>
</cp:coreProperties>
</file>